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diwentang/Documents/LifeSci_Investing/hkex A1 filing/"/>
    </mc:Choice>
  </mc:AlternateContent>
  <xr:revisionPtr revIDLastSave="0" documentId="13_ncr:1_{260B7641-4F58-9840-A713-1FF5EBF9E935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A1 Pipeline" sheetId="1" r:id="rId1"/>
  </sheets>
  <definedNames>
    <definedName name="_xlnm._FilterDatabase" localSheetId="0" hidden="1">'A1 Pipeline'!$B$2:$N$162</definedName>
    <definedName name="CIQWBGuid" hidden="1">"e43a603e-9391-434b-83c2-f68813d23e25"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46033.1682638889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E3" hidden="1">#REF!</definedName>
    <definedName name="IQRF3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1" l="1"/>
  <c r="K53" i="1"/>
  <c r="J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5" authorId="0" shapeId="0" xr:uid="{00000000-0006-0000-0000-000001000000}">
      <text>
        <r>
          <rPr>
            <sz val="11"/>
            <color theme="1"/>
            <rFont val="等线"/>
            <family val="2"/>
            <scheme val="minor"/>
          </rPr>
          <t>Author:
A-share listed.</t>
        </r>
      </text>
    </comment>
    <comment ref="D66" authorId="0" shapeId="0" xr:uid="{00000000-0006-0000-0000-000002000000}">
      <text>
        <r>
          <rPr>
            <sz val="11"/>
            <color theme="1"/>
            <rFont val="等线"/>
            <family val="2"/>
            <scheme val="minor"/>
          </rPr>
          <t>Author:
Vertical Specialist. One of the few biotechs dedicated solely to kidney diseases (dialysis &amp; chronic kidney disease).</t>
        </r>
      </text>
    </comment>
    <comment ref="D71" authorId="0" shapeId="0" xr:uid="{00000000-0006-0000-0000-000003000000}">
      <text>
        <r>
          <rPr>
            <sz val="11"/>
            <color theme="1"/>
            <rFont val="等线"/>
            <family val="2"/>
            <scheme val="minor"/>
          </rPr>
          <t>Author:
Not a traditional R&amp;D biotech; a commercialization bridge bringing global rare disease drugs to the Chinese market.</t>
        </r>
      </text>
    </comment>
    <comment ref="D86" authorId="0" shapeId="0" xr:uid="{00000000-0006-0000-0000-000004000000}">
      <text>
        <r>
          <rPr>
            <sz val="11"/>
            <color theme="1"/>
            <rFont val="等线"/>
            <family val="2"/>
            <scheme val="minor"/>
          </rPr>
          <t>Author:
Polypeptides / Peptides.</t>
        </r>
      </text>
    </comment>
  </commentList>
</comments>
</file>

<file path=xl/sharedStrings.xml><?xml version="1.0" encoding="utf-8"?>
<sst xmlns="http://schemas.openxmlformats.org/spreadsheetml/2006/main" count="1210" uniqueCount="723">
  <si>
    <t>Updated as of March 1, 2026</t>
  </si>
  <si>
    <t>红筹架构</t>
  </si>
  <si>
    <t>FY24</t>
  </si>
  <si>
    <t>Status</t>
  </si>
  <si>
    <t>Latest A1 Filing</t>
  </si>
  <si>
    <t>Company Name</t>
  </si>
  <si>
    <t xml:space="preserve"> Chinese Name</t>
  </si>
  <si>
    <t>Shareholder
Structure</t>
  </si>
  <si>
    <t>Busines model /
Clinical stage of core asset</t>
  </si>
  <si>
    <t>Sector</t>
  </si>
  <si>
    <t>Sponsor</t>
  </si>
  <si>
    <t>Latest FY Revenue (RMB m)</t>
  </si>
  <si>
    <t>Latest FY Net income (RMB m)</t>
  </si>
  <si>
    <t>Latest FYE Cash (RMB m)</t>
  </si>
  <si>
    <t>Lead Asset / business</t>
  </si>
  <si>
    <t>Highlights / Updates</t>
  </si>
  <si>
    <t>Nanjing Novlead Biotechnology Co., Ltd. - B</t>
  </si>
  <si>
    <t>H-share</t>
  </si>
  <si>
    <t>Commercial-stage; 5 approved iNO devices, loss-making</t>
  </si>
  <si>
    <t>MedTech</t>
  </si>
  <si>
    <t>CCBI</t>
  </si>
  <si>
    <t>iNOwill - electrochemical catalysis-based inhaled nitric oxide (iNO) therapy device for cardiopulmonary support and respiratory diagnostics.</t>
  </si>
  <si>
    <t>27/02/2026</t>
  </si>
  <si>
    <t>Beijing Wehand-Bio Pharmaceutical Co., Ltd. - B</t>
  </si>
  <si>
    <t>Early commercial; Samborn approved for T2DM, 8 pipeline candidates</t>
  </si>
  <si>
    <t>Pharma / Biotech</t>
  </si>
  <si>
    <t>Huatai</t>
  </si>
  <si>
    <t>Huge Dental Limited</t>
  </si>
  <si>
    <t>滬鴿口腔</t>
  </si>
  <si>
    <t>Commercialized. Dental materials (Synthetic teeth, aligners).</t>
  </si>
  <si>
    <t>CICC, DBS</t>
  </si>
  <si>
    <t>Dental impression materials &amp; resin teeth.</t>
  </si>
  <si>
    <t>Elastomeric impression materials for precise impressions for crowns, bridges; Resin teeth filling; temporary crowns, bridges resin; aligners</t>
  </si>
  <si>
    <t>25/02/2026</t>
  </si>
  <si>
    <t>Jinxin Eldercare Industry Group Limited</t>
  </si>
  <si>
    <t>Red Chip</t>
  </si>
  <si>
    <t>Profitable; #1 institutional eldercare in China, 3 consecutive years of profitability</t>
  </si>
  <si>
    <t>Services</t>
  </si>
  <si>
    <t>CICC, GF Securities</t>
  </si>
  <si>
    <t>LongBio Pharma (Suzhou) Co., Ltd. - B</t>
  </si>
  <si>
    <t>Clinical-stage; anti-IgE nanobody, BLA expected Q3 2026 (18A)</t>
  </si>
  <si>
    <t>Sinolink</t>
  </si>
  <si>
    <t>-</t>
  </si>
  <si>
    <t>LP-003 - anti-IgE nanobody for allergic rhinitis (SAR) and chronic spontaneous urticaria (CSU).</t>
  </si>
  <si>
    <t>Shandong Hanfang Pharmaceutical Co., Ltd.</t>
  </si>
  <si>
    <t>Profitable; flagship TCM product contributes 99%+ of revenue, gross margin &gt;80%</t>
  </si>
  <si>
    <t>Pharma</t>
  </si>
  <si>
    <t>Zhongtai Intl</t>
  </si>
  <si>
    <t>Suzhou Leadsynbio Technology Co., Ltd.</t>
  </si>
  <si>
    <t>Commercial-stage synthetic biology; florfenicol (global #2), loss-making</t>
  </si>
  <si>
    <t>CDMO</t>
  </si>
  <si>
    <t>Synthetic biology platform: florfenicol (global #2, 24.5% share), D-ethyl ester (global #1, 44.5%), NMN.</t>
  </si>
  <si>
    <t>Zhejiang Jingxin Pharmaceutical Co., Ltd.</t>
  </si>
  <si>
    <t>Commercialized. A-share listed (SZ:002020), established CNS and cardiovascular pharma</t>
  </si>
  <si>
    <t>CITIC</t>
  </si>
  <si>
    <t>Diversified pharma: CNS and cardiovascular drugs; APIs (RMB 876mm), finished drugs (RMB 2,522mm), devices (RMB 687mm).</t>
  </si>
  <si>
    <t>23/02/2026</t>
  </si>
  <si>
    <t>Hangzhou Tangji Medical Technology Co., Ltd. - B</t>
  </si>
  <si>
    <t>Early commercial; gastric bypass stent approved Jan 2024, technically insolvent (18A)</t>
  </si>
  <si>
    <t>ICBC Intl, Caitong</t>
  </si>
  <si>
    <t>Gastric Bypass Stent System - world's first intestinal interventional device for obesity/T2DM/MAFLD.</t>
  </si>
  <si>
    <t>13/02/2026</t>
  </si>
  <si>
    <t>ProteLight Pharmaceuticals (Jiangsu) Co., Ltd. - B</t>
  </si>
  <si>
    <t>NDA-stage; PL-5 antimicrobial peptide NDA filed, partnered with Chia Tai Tianqing (18A)</t>
  </si>
  <si>
    <t>PL-5 (Peceleganan) - first-in-class antimicrobial peptide for wound infections; NDA filed to NMPA.</t>
  </si>
  <si>
    <t>Shenzhen Immunofoco Biotechnology Co., Ltd. - B</t>
  </si>
  <si>
    <t>Clinical-stage; CLDN18.2 CAR-T in pivotal Phase 3 for solid tumors (18A)</t>
  </si>
  <si>
    <t>IMC002 - anti-CLDN18.2 CAR-T for gastric/pancreatic cancer (FDA Orphan Drug + Fast Track).</t>
  </si>
  <si>
    <t>VivaVision Biotech (Zhejiang) Co., Ltd. - B</t>
  </si>
  <si>
    <t>Clinical-stage; two core ophthalmology drugs in Phase 3, pre-revenue (18A)</t>
  </si>
  <si>
    <t>CICC</t>
  </si>
  <si>
    <t>Phase 3 ophthalmology drugs for non-infectious anterior uveitis and dry eye disease.</t>
  </si>
  <si>
    <t>Shenzhen Salubris Pharmaceuticals Co., Ltd.</t>
  </si>
  <si>
    <t>Commercialized. A-share listed (SZ:002294), 6 innovative drugs approved, cardiovascular focus</t>
  </si>
  <si>
    <t>GS, Citi, CITIC</t>
  </si>
  <si>
    <t>Cardiovascular-renal-metabolic franchise: Salubristat, Furelistat, Salubrixin, Ennaro (6 innovative drugs).</t>
  </si>
  <si>
    <t>Sirio Pharma Co., Ltd.</t>
  </si>
  <si>
    <t>Commercialized. A-share listed (SZ:300791), global CDMO/ODM for nutritional supplements</t>
  </si>
  <si>
    <t>Consumer Health</t>
  </si>
  <si>
    <t>Global nutritional health food CDMO (softgels, gummies, probiotics, tablets); ~60% revenue overseas.</t>
  </si>
  <si>
    <t>PANACRO (Hangzhou) Pharmaceutical Technology Co., Ltd.</t>
  </si>
  <si>
    <t>Profitable; clinical CRO specializing in oncology and autoimmune diseases</t>
  </si>
  <si>
    <t>Ind. Sec. Intl, ICBC Intl</t>
  </si>
  <si>
    <t>Clinical CRO: digitally-empowered innovative drug clinical research, oncology and autoimmune focus.</t>
  </si>
  <si>
    <t>Dizal Pharmaceutical Co., Ltd.</t>
  </si>
  <si>
    <t>Commercial-stage. STAR Market listed (688192), Suvotinib approved in China &amp; US for NSCLC</t>
  </si>
  <si>
    <t>GS, Huatai</t>
  </si>
  <si>
    <t>Suvotinib (EGFR Exon20ins NSCLC, approved China &amp; US) and Golotinib (JAK1 for PTCL).</t>
  </si>
  <si>
    <t>Knature Biopharmaceutical Co., Ltd</t>
  </si>
  <si>
    <t>Commercialized; 20 drugs including flagship NAD+ therapeutic Enaide</t>
  </si>
  <si>
    <t>SDIC Intl</t>
  </si>
  <si>
    <t>TenNor Therapeutics (Suzhou) Limited - B</t>
  </si>
  <si>
    <t>Clinical-stage; anti-H. pylori antibiotic rifaternidazole Ph3 completed, NDA planned; TNP-2092 multi-target antibiotic</t>
  </si>
  <si>
    <t>CITIC, ABCI</t>
  </si>
  <si>
    <t>Multi-target antibiotic TNP-2092.</t>
  </si>
  <si>
    <t>PrimeGenX Therapeutics Co., Ltd. - B</t>
  </si>
  <si>
    <t>Clinical-stage; PG-011 (JAK/ROCK inhibitor) completed Phase 3 for atopic dermatitis (18A)</t>
  </si>
  <si>
    <t>CITIC, MinYin</t>
  </si>
  <si>
    <t>PG-011 (Pumeicitinib) - first-in-class topical JAK/ROCK dual-target inhibitor for AD and allergic rhinitis.</t>
  </si>
  <si>
    <t>30/01/2026</t>
  </si>
  <si>
    <t>Zenshine Pharmaceuticals (Nanjing) Group Co., Ltd. - B</t>
  </si>
  <si>
    <t>Early commercial; Marceloxavir for influenza approved Jul 2025, minimal revenue</t>
  </si>
  <si>
    <t>29/01/2026</t>
  </si>
  <si>
    <t>Suzhou GenHouse Bio Co., Ltd. - B</t>
  </si>
  <si>
    <t>Clinical-stage; KRAS small molecule inhibitors for oncology; GH21 SHP2 inhibitor out-licensed to multinational</t>
  </si>
  <si>
    <t>Oncology: Small molecule inhibitors targeting KRAS and SHP2 pathways.</t>
  </si>
  <si>
    <t>Tyligand Bioscience Ltd. - B</t>
  </si>
  <si>
    <t>Clinical-stage; KRAS G12D inhibitor in Phase 2, pre-revenue (18A)</t>
  </si>
  <si>
    <t>TSN1611 - highly selective oral KRAS G12D inhibitor for solid tumors (Phase 2 China &amp; US); ADC pipeline.</t>
  </si>
  <si>
    <t>27/01/2026</t>
  </si>
  <si>
    <t>Harbin Yuyantang Traditional Chinese Medicine Outpatient Group Co., Ltd.</t>
  </si>
  <si>
    <t>Commercialized; TCM outpatient clinic chain in Harbin/NE China, profitable</t>
  </si>
  <si>
    <t>Services (TCM)</t>
  </si>
  <si>
    <t>CMBI, Guoyuan</t>
  </si>
  <si>
    <t>TCM Clinics</t>
  </si>
  <si>
    <t>26/01/2026</t>
  </si>
  <si>
    <t>Beijing Tong Ren Tang Healthcare Investment Co., Ltd.</t>
  </si>
  <si>
    <t>Commercialized; China's #1 private TCM hospital network (1.7% market share); subsidiary of Beijing Tong Ren Tang</t>
  </si>
  <si>
    <t>TCM hospitals &amp; eldercare network.</t>
  </si>
  <si>
    <t>Shanghai Aucta Pharmaceuticals Co., Ltd. - B</t>
  </si>
  <si>
    <t>Commercialized; US-approved CNS drugs, GLP-1 nasal spray Phase 3 planned</t>
  </si>
  <si>
    <t>CMS Intl, CCBI</t>
  </si>
  <si>
    <t>Motpoly XR (first FDA-approved once-daily lacosamide ER for epilepsy); AUC059 (GLP-1 nasal spray, Ph3).</t>
  </si>
  <si>
    <t>22/01/2026</t>
  </si>
  <si>
    <t>Hangzhou Bangshun Pharmaceutical Co., Ltd. - B</t>
  </si>
  <si>
    <t>Near-commercial; Bezunostat NDA filed Aug 2024 for myelofibrosis, approval expected Q2 2026 (18A)</t>
  </si>
  <si>
    <t>CSC Intl</t>
  </si>
  <si>
    <t>Hunan Xizi Health Group Co., LTD</t>
  </si>
  <si>
    <t>Commercialized; #3 sports nutrition brand operator in China (Frost &amp; Sullivan 2024); FoYes, fiboo brands</t>
  </si>
  <si>
    <t>Sports Nutrition: "FoYes" brand protein &amp; supplements; DTC sales via Douyin.</t>
  </si>
  <si>
    <t>20/01/2026</t>
  </si>
  <si>
    <t>BioRay Biopharmaceutical Co., Ltd.</t>
  </si>
  <si>
    <t>Commercial-stage; Zuberitamab (anti-CD20 mAb) approved 2023, Adalimumab biosimilar; autoimmune/oncology focus</t>
  </si>
  <si>
    <t>Huatai, JPM</t>
  </si>
  <si>
    <t>Autoimmune/Oncology: Zuberitamab (CD20), Adalimumab, Tocilizumab biosimilars.</t>
  </si>
  <si>
    <t>Expiring in 6 month</t>
  </si>
  <si>
    <t>18/01/2026</t>
  </si>
  <si>
    <t>Shanghai Duoning Biotechnology Co., Ltd.</t>
  </si>
  <si>
    <t>Diagnostics / Tools</t>
  </si>
  <si>
    <t>MS, Huatai</t>
  </si>
  <si>
    <t>Bioprocess Solutions: Bioreactors, filtration systems, and chromatography for biologics manufacturing.</t>
  </si>
  <si>
    <t>16/01/2026</t>
  </si>
  <si>
    <t>Shanghai MediTrust Health Technology Group Co., Ltd.</t>
  </si>
  <si>
    <t>上海鎂信健康科技集團股份有限公司</t>
  </si>
  <si>
    <t>Health tech &amp; payment platform</t>
  </si>
  <si>
    <t>Services (PBM)</t>
  </si>
  <si>
    <t>GS, CICC, HSBC</t>
  </si>
  <si>
    <t>Medical payment / benefits platform.</t>
  </si>
  <si>
    <t>Harbin Yuyantang Traditional Chinese Medicine</t>
  </si>
  <si>
    <t>Suzhou GenHouse Bio Co., Ltd.</t>
  </si>
  <si>
    <t>15/01/2026</t>
  </si>
  <si>
    <t>InventisBio Co., Limited</t>
  </si>
  <si>
    <t>EGFR / KRAS inhibitors; TYK2 inhibitor</t>
  </si>
  <si>
    <t>14/01/2026</t>
  </si>
  <si>
    <t>Exegenesis Bio Inc.</t>
  </si>
  <si>
    <t>N/A</t>
  </si>
  <si>
    <t>EXG001-307: AAV gene therapy for SMA Type 1; EXG102-031: Gene therapy for wAMD.</t>
  </si>
  <si>
    <t>Immvira Bioscience Inc.</t>
  </si>
  <si>
    <t>Citi, CICC</t>
  </si>
  <si>
    <t>Oncolytic HSV vectors (OVPENS platform).</t>
  </si>
  <si>
    <t>13/01/2026</t>
  </si>
  <si>
    <t>Lianchi Hospital Group Co., Ltd.</t>
  </si>
  <si>
    <t>Services (Hospital)</t>
  </si>
  <si>
    <t>China Galaxy Intl.</t>
  </si>
  <si>
    <t>Orthopedics</t>
  </si>
  <si>
    <t>Chengdu Zenitar Biomedical Technology</t>
  </si>
  <si>
    <t>Jefferies, CICC</t>
  </si>
  <si>
    <t>Flonoltinib Maleate: JAK inhibitor for Myelofibrosis; Purinostat: HDAC inhibitor.</t>
  </si>
  <si>
    <t>Shanghai Shengsheng Pharm. Cold Chain</t>
  </si>
  <si>
    <t>Distributor</t>
  </si>
  <si>
    <t>CICC, Sinolink</t>
  </si>
  <si>
    <t>Cold Chain Logistics: Integrated logistics for vaccines and biologics.</t>
  </si>
  <si>
    <t>Simcere Zaiming Pharmaceutical Co., Ltd.</t>
  </si>
  <si>
    <t>先聲再明醫藥股份有限公司</t>
  </si>
  <si>
    <t>Commercialized. Spun off from Simcere Pharma; has established oncology sales.</t>
  </si>
  <si>
    <t>MS, CICC</t>
  </si>
  <si>
    <t>Oncology Portfolio: Suvemcitug, Cosela (Trilaciclib), and checkpoint inhibitors (Sub. of Simcere).</t>
  </si>
  <si>
    <t>Hangzhou Diagens Biotechnology Co., Ltd.</t>
  </si>
  <si>
    <t>AI AutoVision: AI-assisted chromosome karyotype analysis system.</t>
  </si>
  <si>
    <t>Healife Group Co., Ltd.</t>
  </si>
  <si>
    <t>Healthcare Tech</t>
  </si>
  <si>
    <t>Everbright</t>
  </si>
  <si>
    <t>Medical Marketing: Academic conference organization and medical marketing services.</t>
  </si>
  <si>
    <t>Expiring in 5 month</t>
  </si>
  <si>
    <t>31/12/2025</t>
  </si>
  <si>
    <t>Jingze Biopharmaceutical (Hefei) Co., Ltd.</t>
  </si>
  <si>
    <t>CICC, Guoyuan</t>
  </si>
  <si>
    <t>Reproductive/Ophtha: JZB30 (rFSH) and JZB05 (VEGF).</t>
  </si>
  <si>
    <t>29/12/2025</t>
  </si>
  <si>
    <t>Youcare Pharmaceutical Group Co., Ltd.</t>
  </si>
  <si>
    <t>Innovative Drugs: CT102 (Liver cancer), anti-infectives. (A-share listed).</t>
  </si>
  <si>
    <t>24/12/2025</t>
  </si>
  <si>
    <t>Guangzhou Novaken Pharm Co., Ltd.</t>
  </si>
  <si>
    <t>Guotai Junan Intl.</t>
  </si>
  <si>
    <t>Microneedles/Inhalation: Soluble microneedle patches and nasal inhalation platforms.</t>
  </si>
  <si>
    <t>CSPC Innovation Pharmaceutical Co., Ltd.</t>
  </si>
  <si>
    <t>Caffeine/GLP-1/EGFR ADC: Functional food additives and innovative drugs.</t>
  </si>
  <si>
    <t>23/12/2025</t>
  </si>
  <si>
    <t>Frontera Therapeutics - B</t>
  </si>
  <si>
    <t>UBS, Guotai Junan Intl.</t>
  </si>
  <si>
    <t>FT-002 (Orphan drug for XLRP) and FT-003 (nAMD and DME)</t>
  </si>
  <si>
    <t>21/12/2025</t>
  </si>
  <si>
    <t>Geneplus Technology (Shaoxing) Co., Ltd.</t>
  </si>
  <si>
    <t>吉因加科技（紹興）股份有限公司</t>
  </si>
  <si>
    <t>IVD: Gene+Seq series sequencers and oncology liquid biopsy kits.</t>
  </si>
  <si>
    <t>CCBI, CBMC</t>
  </si>
  <si>
    <t>NGS Diagnostics: Tumor early screening, MRD monitoring, and companion diagnostics.</t>
  </si>
  <si>
    <t>19/12/2025</t>
  </si>
  <si>
    <t>Suzhou Zelgen Biopharmaceuticals Co., Ltd.</t>
  </si>
  <si>
    <t>蘇州澤璟生物製藥股份有限公司</t>
  </si>
  <si>
    <t>Commercialized. Already listed on A-share (STAR Market)</t>
  </si>
  <si>
    <t>Donafenib: Liver/Thyroid cancer; Jaktinib: Myelofibrosis/Autoimmune.</t>
  </si>
  <si>
    <t>18/12/2025</t>
  </si>
  <si>
    <t>COREE Company Limited</t>
  </si>
  <si>
    <t>Pediatric pharmaceutical and nutrition brand (probiotics); digital healthcare solutions.</t>
  </si>
  <si>
    <t>EpimAb Biotherapeutics Inc. - B</t>
  </si>
  <si>
    <t>岸邁生物科技有限公司</t>
  </si>
  <si>
    <t>Phase 2, EMB-01 (EGFR/c-Met bispecific antibody)</t>
  </si>
  <si>
    <t>CITIC, CMBI</t>
  </si>
  <si>
    <t>EMB-01: EGFR/cMet BsAb for NSCLC and GI cancers (Phase I/II). Technology: FIT-Ig® (Fabs-In-Tandem Immunoglobulin) platform.</t>
  </si>
  <si>
    <t>17/12/2025</t>
  </si>
  <si>
    <t>SKG Health Technologies Co., Ltd.</t>
  </si>
  <si>
    <t>China Securities</t>
  </si>
  <si>
    <t>Wearable Health Devices: Smart cervical/neck massagers (No. 1 market share), waist massagers, and health monitoring watches.</t>
  </si>
  <si>
    <t>Shanghai Juncell Therapeutics Co., Ltd. - B</t>
  </si>
  <si>
    <t>Tumor-infiltrating lymphocyte (TIL) therapy</t>
  </si>
  <si>
    <t>Expiring in 4 month</t>
  </si>
  <si>
    <t>25/11/2025</t>
  </si>
  <si>
    <t>Chengdu Olymvax Biopharmaceuticals Inc.</t>
  </si>
  <si>
    <t>成都歐林生物科技股份有限公司</t>
  </si>
  <si>
    <t>Commercialized. A-share listed company; multiple vaccines currently on sale.</t>
  </si>
  <si>
    <t>Vaccine</t>
  </si>
  <si>
    <t>Vaccine: rFSAV (Recombinant Staphylococcus aureus vaccine - Phase III); Tetanus Vaccine (Commercialized).</t>
  </si>
  <si>
    <t>Hangzhou Highlightll Pharmaceutical Co., Ltd. - B</t>
  </si>
  <si>
    <t>CICC, CMBI</t>
  </si>
  <si>
    <t>TLL-018: Dual TYK2/JAK1 inhibitor for autoimmune diseases (Psoriasis, RA). TLL-041: Brain-penetrant dual TYK2/JAK1 inhibitor.</t>
  </si>
  <si>
    <t>Pharmeyes Cayman Holding Limited</t>
  </si>
  <si>
    <t>Intelligent Data Platform: Provides data-driven solutions for the healthcare industry (Pharma/MedTech). Core product is the Direct Channel Data Connection (DDI) solution for supply chain data governance and risk management.</t>
  </si>
  <si>
    <t>Ganzhou Hemay Pharmaceutical Co., Ltd. - B</t>
  </si>
  <si>
    <t>Guotou</t>
  </si>
  <si>
    <t>Mufemilast (Hemay005): PDE4 inhibitor for Psoriasis (NDA submitted) and Behcet's Disease. Hemay022: Irreversible EGFR/HER2 inhibitor for Breast Cancer.</t>
  </si>
  <si>
    <t>30/11/2025</t>
  </si>
  <si>
    <t>Lynk Pharmaceuticals Co., Ltd. - B</t>
  </si>
  <si>
    <t>CITIC, CCBI</t>
  </si>
  <si>
    <t>LNK01001: JAK1 inhibitor for Rheumatoid Arthritis, AD, and IBD (Phase III).</t>
  </si>
  <si>
    <t>Zhejiang Shimai Pharmaceutical Co., Ltd. - B</t>
  </si>
  <si>
    <t>SM17: Humanized antibody (Target: IL-25/IL-17RB) for Asthma/AD.</t>
  </si>
  <si>
    <t>24/11/2025</t>
  </si>
  <si>
    <t>Elpiscience Biopharmaceuticals, Inc.- B</t>
  </si>
  <si>
    <t>CLSA</t>
  </si>
  <si>
    <t>ES104: Bispecific antibody (VEGF/DLL4) for Colorectal Cancer (Phase II).</t>
  </si>
  <si>
    <t>Ming Yu Pharmaceutical Limited - B</t>
  </si>
  <si>
    <t>MS, BAML, CITIC</t>
  </si>
  <si>
    <t>MHB036C: TROP-2 ADC for Solid Tumors (Phase II). MHB088: PD-1/VEGF bispecific.</t>
  </si>
  <si>
    <t>Kexing Biopharm Co., Ltd.</t>
  </si>
  <si>
    <t>Epiao (EPO): Recombinant Human Erythropoietin (Commercialized).</t>
  </si>
  <si>
    <t>31/10/2025</t>
  </si>
  <si>
    <t>Alebund Pharmaceuticals (Jiangsu) Limited - B</t>
  </si>
  <si>
    <t>禮邦醫藥(江蘇)股份有限公司</t>
  </si>
  <si>
    <t>Phase 3, AP301 (Phosphate binder for hyperphosphatemia)</t>
  </si>
  <si>
    <t>Jefferies, BAML, Huatai</t>
  </si>
  <si>
    <t>TMX-049: TRPC5 inhibitor for Kidney Disease.</t>
  </si>
  <si>
    <t>30/10/2025</t>
  </si>
  <si>
    <t>BrightGene Bio-Medical Technology Co., Ltd.</t>
  </si>
  <si>
    <t>Caspofungin / Entecavir: Complex generics &amp; APIs. GLP-1 drugs</t>
  </si>
  <si>
    <t>Shenzhen Mindray Bio-Medical Electronics Co., Ltd.</t>
  </si>
  <si>
    <t>Patient Monitoring, IVD, Medical Imaging Systems.</t>
  </si>
  <si>
    <t>Genuine Biotech Limited - B</t>
  </si>
  <si>
    <t>Azvudine: Dual target (HIV &amp; COVID-19) antiviral (Commercialized).</t>
  </si>
  <si>
    <t>Nanjing Healthnice Pharmaceutical Technology Co., Ltd.</t>
  </si>
  <si>
    <t>Services (CXO)</t>
  </si>
  <si>
    <t>Service Platform: CRO services.</t>
  </si>
  <si>
    <t>WinHealth International Holding Group Co., Ltd.</t>
  </si>
  <si>
    <t>維健國際控股集團有限公司</t>
  </si>
  <si>
    <t>Commercialized, Specialty pharma platform for rare diseases.</t>
  </si>
  <si>
    <t>Rare disease portfolio (commercial stage assets licensed in)</t>
  </si>
  <si>
    <t>Expiring in 3 month</t>
  </si>
  <si>
    <t>Lupeng Pharmaceutical Ltd. - B</t>
  </si>
  <si>
    <t>麓鵬製藥有限公司</t>
  </si>
  <si>
    <t>Phase 2, LP-168 (Next-gen BTK inhibitor)</t>
  </si>
  <si>
    <t>LP-168: Dual Covalent/Non-cov BTK; LP-108: Bcl-2 inhibitor for B-cell malignancies (Phase III).</t>
  </si>
  <si>
    <t>NovaBridge Biosciences - B</t>
  </si>
  <si>
    <t>GS, CITIC</t>
  </si>
  <si>
    <t>Givastomig: Claudin 18.2 x 4-1BB bispecific; Uliledlimab: CD73 antibody.</t>
  </si>
  <si>
    <t>TriApex Laboratories Co., Ltd.</t>
  </si>
  <si>
    <t>江蘇鼎泰藥物研究(集團)股份有限公司</t>
  </si>
  <si>
    <t>CRO services (Non-clinical and clinical).</t>
  </si>
  <si>
    <t>Citi, Haitong</t>
  </si>
  <si>
    <t>Service Platform: Non-clinical safety assessment, GLP Labs.</t>
  </si>
  <si>
    <t>14/04/2025</t>
  </si>
  <si>
    <t>Dermavon Holdings Limited</t>
  </si>
  <si>
    <t>德鎂醫藥有限公司</t>
  </si>
  <si>
    <t>Commercialized. Sells prescription dermatological drugs and skincare.</t>
  </si>
  <si>
    <t>Dermatology: Tildrakizumab / ruxolitinib creams (CN).</t>
  </si>
  <si>
    <t>Spin off of CMS's dermatology prescription and skincare products</t>
  </si>
  <si>
    <t>26/10/2025</t>
  </si>
  <si>
    <t>Jiangxi Institute of Biological Products Inc.</t>
  </si>
  <si>
    <t>Tetanus Antitoxin: Market leader in China.</t>
  </si>
  <si>
    <t>17/10/2025</t>
  </si>
  <si>
    <t>Sichuan Neautus Traditional Chinese Medicine Co., Ltd.</t>
  </si>
  <si>
    <t>GFH, ABCI, ICBCI</t>
  </si>
  <si>
    <t>TCM Decoction Pieces: Slices/Herbs. Formula granules.</t>
  </si>
  <si>
    <t>Expiring in 2 month</t>
  </si>
  <si>
    <t>30/09/2025</t>
  </si>
  <si>
    <t>Anhui Huaheng Biotechnology Co., Ltd.</t>
  </si>
  <si>
    <t>Alanine Series: Global leader in bio-based Alanine production (L-Alanine). Expanding into Valine and D-Pantothenic acid. (A+H Listing)</t>
  </si>
  <si>
    <t>Binhui Biopharmaceutical Co., Ltd. - B</t>
  </si>
  <si>
    <t>Huatai, CMBI, BOCI</t>
  </si>
  <si>
    <t>BS001 (OH2): Oncolytic Virus (HSV-2 based) for solid tumors (Phase II).</t>
  </si>
  <si>
    <t>29/09/2025</t>
  </si>
  <si>
    <t>Betta Pharmaceuticals Co., Ltd.</t>
  </si>
  <si>
    <t>MS, CITIC</t>
  </si>
  <si>
    <t>Icotinib / Ensartinib: EGFR-TKIs for Lung Cancer (Commercial).</t>
  </si>
  <si>
    <t>28/09/2025</t>
  </si>
  <si>
    <t>Sirius Therapeutics</t>
  </si>
  <si>
    <t>GS, Haitong, HSBC</t>
  </si>
  <si>
    <t>SRSD107: FXI inhibitor (RNAi) for thrombosis. SRSD101: PCSK9 (RNAi) for Dyslipidemia.</t>
  </si>
  <si>
    <t>Yantai Lannacheng Biotechnology Co., Ltd.</t>
  </si>
  <si>
    <t>LNC-B744: ADC targeting Nectin-4.</t>
  </si>
  <si>
    <t>Eccogene Inc.</t>
  </si>
  <si>
    <t>誠益生物開曼有限公司</t>
  </si>
  <si>
    <t>Ph1/2, ECC5004 (Oral small molecule GLP-1RA) Out-licensed to AstraZeneca.</t>
  </si>
  <si>
    <t>Jefferies, BAML, CICC</t>
  </si>
  <si>
    <t>ECC5004: Small molecule GLP-1 RA for Obesity/T2D (Phase I/II).</t>
  </si>
  <si>
    <t>Highlights: Licensed ECC5004 to AstraZeneca for up to $2B. Focuses on oral small molecules to replace injectables.</t>
  </si>
  <si>
    <t>Annoroad Gene Technology (Beijing) Co., Ltd.</t>
  </si>
  <si>
    <t>安諾優達基因科技（北京）股份有限公司</t>
  </si>
  <si>
    <t>NGS technology &amp; reproductive health (NIPT).</t>
  </si>
  <si>
    <t>CCBI, Guotai</t>
  </si>
  <si>
    <t>Genome Sequencing / Molecular Diagnostics.</t>
  </si>
  <si>
    <t>Good Doctor Cloud Healthcare &amp; Technology Group Co., Ltd.</t>
  </si>
  <si>
    <t>Haitong, CITIC</t>
  </si>
  <si>
    <t>Digital Health / Medical Cloud</t>
  </si>
  <si>
    <t>Integrates online medical consultations with offline drug delivery. Strong presence in primary care and rural markets.</t>
  </si>
  <si>
    <t>Shaanxi Micot Pharmaceutical Technology Co., Ltd. - B</t>
  </si>
  <si>
    <t>CCBI, CMS</t>
  </si>
  <si>
    <t>MT-1013: PTH1R analog for Hyperparathyroidism (Phase III).</t>
  </si>
  <si>
    <t>Wuhan Ammunition Life-tech Co., Ltd. - B</t>
  </si>
  <si>
    <t>CCBI, BOCOMI</t>
  </si>
  <si>
    <t>Colorectal Cancer Screening: Methylation PCR kits (Commercial).</t>
  </si>
  <si>
    <t>26/09/2025</t>
  </si>
  <si>
    <t>IMPACT Therapeutics, Inc. - B</t>
  </si>
  <si>
    <t>南京英派藥業股份有限公司</t>
  </si>
  <si>
    <t>Pre-commercial. Senaparib (PARP inhibitor) NDA accepted; Phase III completed.</t>
  </si>
  <si>
    <t>GS, CICC</t>
  </si>
  <si>
    <t>Senaparib: PARP inhibitor for Ovarian/Prostate cancer (NDA).</t>
  </si>
  <si>
    <t>19/09/2025</t>
  </si>
  <si>
    <t>Hangzhou Sciwind Biosciences Co., Ltd. - B</t>
  </si>
  <si>
    <t>杭州先為達生物科技股份有限公司</t>
  </si>
  <si>
    <t>Phase 3, Ecnoglutide (XW003, GLP-1 analog)</t>
  </si>
  <si>
    <t>Ecnoglutide (XW003): GLP-1 analog for Obesity/T2D (Phase III).</t>
  </si>
  <si>
    <t>15/09/2025</t>
  </si>
  <si>
    <t>Atom Therapeutics Co., Ltd. - B</t>
  </si>
  <si>
    <t>ABP-671: URAT1 inhibitor for Chronic Gout (Phase III).</t>
  </si>
  <si>
    <t>Shanghai Ark Biopharmaceutical Co., Ltd. - B</t>
  </si>
  <si>
    <t>JPM, CITIC</t>
  </si>
  <si>
    <t>Ziresovir: RSV F-protein inhibitor for infants (NDA filed).</t>
  </si>
  <si>
    <t>31/08/2025</t>
  </si>
  <si>
    <t>Convalife Pharmaceuticals Co., Ltd.- B</t>
  </si>
  <si>
    <t>ABCI, CMBCI, Fosun</t>
  </si>
  <si>
    <t>PARP inhibitor CVL218 (oncology).</t>
  </si>
  <si>
    <t>Expiring in 1 month</t>
  </si>
  <si>
    <t>26/08/2025</t>
  </si>
  <si>
    <t>Star Sports Medicine Co., Ltd.</t>
  </si>
  <si>
    <t>北京天星醫療股份有限公司</t>
  </si>
  <si>
    <t>Commercialized. Sports medicine devices (Anchors, arthroscopes).</t>
  </si>
  <si>
    <t>Arthroscopy &amp; sports-medicine implants.</t>
  </si>
  <si>
    <t>25/08/2025</t>
  </si>
  <si>
    <t>InxMed Limited - B</t>
  </si>
  <si>
    <t>FAK inhibitor IN10018 (oncology).</t>
  </si>
  <si>
    <t>21/08/2025</t>
  </si>
  <si>
    <t>LongBio Pharma (Suzhou) Co., Ltd.- B</t>
  </si>
  <si>
    <t>Biologics for autoimmune (pipeline).</t>
  </si>
  <si>
    <t>QingSong Health Corporation</t>
  </si>
  <si>
    <t>輕鬆健康集團</t>
  </si>
  <si>
    <t>Commercialized. Digital health &amp; insurance.</t>
  </si>
  <si>
    <t>One-stop health / insurance platform.</t>
  </si>
  <si>
    <t>Yeeper Nutrition Technology (Qingdao) Group Co., Ltd.</t>
  </si>
  <si>
    <t>Haitong, CSCI</t>
  </si>
  <si>
    <t>Goat-milk &amp; FSMP nutrition.</t>
  </si>
  <si>
    <t>29/08/2025</t>
  </si>
  <si>
    <t>Cofoe Medical Technology Co., Ltd.</t>
  </si>
  <si>
    <t>可孚醫療科技股份有限公司</t>
  </si>
  <si>
    <t>Commercialized. Home medical devices (Blood pressure monitors).</t>
  </si>
  <si>
    <t>Huatai, BNP Paribas</t>
  </si>
  <si>
    <t xml:space="preserve">Home IVD &amp; devices (e.g., glucose meters). </t>
  </si>
  <si>
    <t>Mabwell (Shanghai) Bioscience Co., Ltd.- B</t>
  </si>
  <si>
    <t>CITIC, Haitong</t>
  </si>
  <si>
    <t>ADC program 7MW4911 (CDH17).</t>
  </si>
  <si>
    <t>Shanghai Bao Pharmaceuticals Co., Ltd.- B</t>
  </si>
  <si>
    <t>Recombinant enzymes / rhPH20. CPHI OnlineBao Pharma</t>
  </si>
  <si>
    <t>18/08/2025</t>
  </si>
  <si>
    <t>15/08/2025</t>
  </si>
  <si>
    <t>B&amp;K Corporation Limited - B</t>
  </si>
  <si>
    <t>Huatai, CITIC</t>
  </si>
  <si>
    <t>PDGF gel Pro-101-1/-2 (burns/DFU).</t>
  </si>
  <si>
    <t>Softcare Limited</t>
  </si>
  <si>
    <t>TBD</t>
  </si>
  <si>
    <t>Baby diapers &amp; feminine hygiene.</t>
  </si>
  <si>
    <t>29/07/2025</t>
  </si>
  <si>
    <t>Herb Standard Holdings Limited</t>
  </si>
  <si>
    <t>Rainbow</t>
  </si>
  <si>
    <t>OTC/senior nutrition supplements.</t>
  </si>
  <si>
    <t>Fujian Haixi Pharmaceuticals Co., Ltd.</t>
  </si>
  <si>
    <t>Huatai, CMBI</t>
  </si>
  <si>
    <t>MAH generics (e.g., mosapride, cinacalcet).</t>
  </si>
  <si>
    <t>31/07/2025</t>
  </si>
  <si>
    <t>Vigonvita Life Sciences Co., Ltd.- B</t>
  </si>
  <si>
    <t>Mindvy® (VV116) antiviral program.</t>
  </si>
  <si>
    <t>30/07/2025</t>
  </si>
  <si>
    <t>WenZhiTCM Inc.</t>
  </si>
  <si>
    <t>Haitong</t>
  </si>
  <si>
    <t>AI-enabled TCM care platform.</t>
  </si>
  <si>
    <t>Lapsed</t>
  </si>
  <si>
    <t>14/07/2025</t>
  </si>
  <si>
    <t>Hunan Mabgeek Biotech Co., Ltd.- B</t>
  </si>
  <si>
    <t>Antibody therapies (allergy/autoimmune).</t>
  </si>
  <si>
    <t>27/06/2025</t>
  </si>
  <si>
    <t>WeiMai Inc.</t>
  </si>
  <si>
    <t>微脉公司</t>
  </si>
  <si>
    <t>Commercialized. Digital healthcare &amp; disease management.</t>
  </si>
  <si>
    <t>CMBI, DB</t>
  </si>
  <si>
    <t>Online care &amp; patient-management platform.</t>
  </si>
  <si>
    <t>30/06/2025</t>
  </si>
  <si>
    <t>Puxiang Healthcare Holding Limited</t>
  </si>
  <si>
    <t>Services (hospital)</t>
  </si>
  <si>
    <t>Shenwan, ABCI</t>
  </si>
  <si>
    <t>Integrated eldercare services.</t>
  </si>
  <si>
    <t>29/06/2025</t>
  </si>
  <si>
    <t>BlissBio Inc.- B</t>
  </si>
  <si>
    <t>GS, Huatai, CCBI</t>
  </si>
  <si>
    <t>HER2 ADC BB-1701 (oncology).</t>
  </si>
  <si>
    <t>160 Health International Limited</t>
  </si>
  <si>
    <t>Shenwan, Qingke</t>
  </si>
  <si>
    <t>B2B health supplies</t>
  </si>
  <si>
    <t>21/05/2025</t>
  </si>
  <si>
    <t>Ganzhou Hemay Pharmaceutical Co., Ltd.- B</t>
  </si>
  <si>
    <t>Guozheng</t>
  </si>
  <si>
    <t>Small-molecule pipeline (innovative).</t>
  </si>
  <si>
    <t>CF PharmTech, Inc.</t>
  </si>
  <si>
    <t>Inhaled respiratory products (MDI/DPI).</t>
  </si>
  <si>
    <t>Inhalers spray, aerosols</t>
  </si>
  <si>
    <t>26/05/2025</t>
  </si>
  <si>
    <t>Beijing Sinotau International Pharmaceutical Technology Co., Ltd.- B</t>
  </si>
  <si>
    <t>北京先通國際醫藥科技股份有限公司 - B</t>
  </si>
  <si>
    <t>Phase 3, Radiopharmaceuticals (Amyloid PET tracer)</t>
  </si>
  <si>
    <t>CICC, CITIC</t>
  </si>
  <si>
    <t>Radiopharmaceuticals (theragnostics).</t>
  </si>
  <si>
    <t>15/05/2025</t>
  </si>
  <si>
    <t>Hanx Biopharmaceuticals (Wuhan) Co., Ltd.- B</t>
  </si>
  <si>
    <t>ICBCI</t>
  </si>
  <si>
    <t>IO antibodies / ADCs (oncology).</t>
  </si>
  <si>
    <t>30/05/2025</t>
  </si>
  <si>
    <t>Sainte Nutritional Inc.</t>
  </si>
  <si>
    <t>FSMP medical nutrition products.</t>
  </si>
  <si>
    <t>Eastenova (Chengdu) Biotechnology Co., Ltd.- B</t>
  </si>
  <si>
    <t>Medical-related products; R&amp;D services.</t>
  </si>
  <si>
    <t>28/04/2025</t>
  </si>
  <si>
    <t>OUR United Corporation - B</t>
  </si>
  <si>
    <t>CEBI, PUI, Minyin</t>
  </si>
  <si>
    <t>Integrated X/γ radiotherapy system.</t>
  </si>
  <si>
    <t>16/04/2025</t>
  </si>
  <si>
    <t>Axbio International Limited - B</t>
  </si>
  <si>
    <t xml:space="preserve">CICC, PUI </t>
  </si>
  <si>
    <t>EL-NGS long-read platform; AxiLona EL-100 MDx.</t>
  </si>
  <si>
    <t>21/04/2025</t>
  </si>
  <si>
    <t>Nanjing Perlove Medical Equipment Co., Ltd.</t>
  </si>
  <si>
    <t>Guotai</t>
  </si>
  <si>
    <t>DR / C-arm X-ray systems.</t>
  </si>
  <si>
    <t>C-arm, digital x-ray imaging</t>
  </si>
  <si>
    <t>Distinct Healthcare Holdings Limited</t>
  </si>
  <si>
    <t>Haitong, SPDBI, CMBI, CCBI, CGS</t>
  </si>
  <si>
    <t>Private clinic network (multi-specialty).</t>
  </si>
  <si>
    <t>21/01/2025</t>
  </si>
  <si>
    <t>Sichuan Biokin Pharmaceutical Co., Ltd.</t>
  </si>
  <si>
    <t>GS, JPM, CITIC</t>
  </si>
  <si>
    <t>ADC/biologics (oncology).</t>
  </si>
  <si>
    <t xml:space="preserve">24/07/2025 </t>
  </si>
  <si>
    <t>Quadrivalent influenza subunit vaccine.</t>
  </si>
  <si>
    <t>31/12/2024</t>
  </si>
  <si>
    <t>WeDoctor Holdings Limited †</t>
  </si>
  <si>
    <t>CMBI</t>
  </si>
  <si>
    <t>—</t>
  </si>
  <si>
    <t>Online hospital / digital-health platform</t>
  </si>
  <si>
    <t>IPO</t>
  </si>
  <si>
    <t>27/12/2024</t>
  </si>
  <si>
    <t>Jinfang Pharmaceutical Technology (Shanghai) Co., Ltd. †</t>
  </si>
  <si>
    <t>KRAS-G12C inhibitor GFH925</t>
  </si>
  <si>
    <t>Guangzhou Innogen Pharmaceutical Group Co., Ltd.</t>
  </si>
  <si>
    <t xml:space="preserve">CITIC, CICC </t>
  </si>
  <si>
    <t>GLP-1 efsubaglutide alfa</t>
  </si>
  <si>
    <t>Cloudbreak Pharma Inc.</t>
  </si>
  <si>
    <t>Ophthalmology eye-drop for pterygium</t>
  </si>
  <si>
    <t>29/11/2024</t>
  </si>
  <si>
    <t>Wuhan Dazhong Dental Medical Co., Ltd. †</t>
  </si>
  <si>
    <t>Dental clinic &amp; hospital network</t>
  </si>
  <si>
    <t>Nanjing Leads Biolabs Co., Ltd.</t>
  </si>
  <si>
    <t>anti-LAG-3 mAb LBL-007</t>
  </si>
  <si>
    <t>28/11/2024</t>
  </si>
  <si>
    <t>Shanghai Cell Therapy Group Co., Ltd. †</t>
  </si>
  <si>
    <t>CICC, CCBI</t>
  </si>
  <si>
    <t>Non-viral CAR-T (JL transposon)</t>
  </si>
  <si>
    <t>Changfeng Pharmaceutical Co., Ltd. †</t>
  </si>
  <si>
    <t>Inhaled respiratory MDIs/DPIs</t>
  </si>
  <si>
    <t>25/06/2025</t>
  </si>
  <si>
    <t>Xuanzhu Biopharmaceutical Co., Ltd.</t>
  </si>
  <si>
    <t xml:space="preserve">CICC, CMBI </t>
  </si>
  <si>
    <t>CDK4/6 inhibitor bireociclib</t>
  </si>
  <si>
    <t>13/06/2025</t>
  </si>
  <si>
    <t>IO antibodies (e.g. HX009)</t>
  </si>
  <si>
    <t>Huaren Biotech (Qingdao) Co., Ltd. †</t>
  </si>
  <si>
    <t>rhPDGF-BB gel (wound healing)</t>
  </si>
  <si>
    <t>Mirxes Holding Company Limited</t>
  </si>
  <si>
    <t>Diagnostics</t>
  </si>
  <si>
    <t>GASTROClear miRNA gastric-cancer test</t>
  </si>
  <si>
    <t>Health 160 International Limited †</t>
  </si>
  <si>
    <t>Digital health platform</t>
  </si>
  <si>
    <t>BenQ Hospital Group Co., Ltd. †</t>
  </si>
  <si>
    <t>CITIC, Citi</t>
  </si>
  <si>
    <t>General hospital group</t>
  </si>
  <si>
    <t>30/09/2024</t>
  </si>
  <si>
    <t>Zehui Biotechnology Co., Ltd. †</t>
  </si>
  <si>
    <t>Stem-cell therapy (PSC derived)</t>
  </si>
  <si>
    <t>13/09/2024</t>
  </si>
  <si>
    <t>IVF Hospital Management Group Limited</t>
  </si>
  <si>
    <t xml:space="preserve">CITIC </t>
  </si>
  <si>
    <t>IVF/ART hospital network</t>
  </si>
  <si>
    <t>27/02/2025</t>
  </si>
  <si>
    <t>YingEn Bio Co., Ltd. †</t>
  </si>
  <si>
    <t xml:space="preserve">MS, Jefferies, CITIC </t>
  </si>
  <si>
    <t>HER2 ADC DB-1303</t>
  </si>
  <si>
    <t>Sichuan Baili Tianheng Pharmaceutical Co., Ltd. †</t>
  </si>
  <si>
    <t>ADC/biologics pipeline</t>
  </si>
  <si>
    <t>23/05/2025</t>
  </si>
  <si>
    <t>Elpiscience Biopharmaceuticals, Inc.</t>
  </si>
  <si>
    <t xml:space="preserve">CLSA </t>
  </si>
  <si>
    <t>anti-CD39 mAb ES002</t>
  </si>
  <si>
    <t>30/12/2024</t>
  </si>
  <si>
    <t>TransThera Sciences (Nanjing), Inc. †</t>
  </si>
  <si>
    <t>CITIC, Huatai</t>
  </si>
  <si>
    <t>Multi-target kinase inhibitor TT-00420</t>
  </si>
  <si>
    <t>Private multi-specialty clinics</t>
  </si>
  <si>
    <t>30/04/2024</t>
  </si>
  <si>
    <t>Youxun Medical Biotechnology Co., Ltd. †</t>
  </si>
  <si>
    <t>NIPT / maternal-fetal genetic tests</t>
  </si>
  <si>
    <t>28/03/2024</t>
  </si>
  <si>
    <t>BrainAurora Medical Technology Limited</t>
  </si>
  <si>
    <t>CICC, SPDBI</t>
  </si>
  <si>
    <t>Digital therapy for cognitive impairment</t>
  </si>
  <si>
    <t>27/03/2024</t>
  </si>
  <si>
    <t>InSilico Medicine Cayman TopCo</t>
  </si>
  <si>
    <t>MS, CICC, GFHK, BNP</t>
  </si>
  <si>
    <t>INS018_055 (IPF small-molecule)</t>
  </si>
  <si>
    <t>Shulan Healthcare Management Co., Ltd. †</t>
  </si>
  <si>
    <t>Tertiary general hospitals &amp; management</t>
  </si>
  <si>
    <t>21/03/2024</t>
  </si>
  <si>
    <t>VISEN Pharmaceutical Co., Ltd. †</t>
  </si>
  <si>
    <t>MS, Jefferies</t>
  </si>
  <si>
    <t>Long-acting hGH lonapegsomatropin</t>
  </si>
  <si>
    <t xml:space="preserve">31/01/2024 </t>
  </si>
  <si>
    <t>Lu Daopei Medical Group †</t>
  </si>
  <si>
    <t>CITIC, CMBI, Macquarie</t>
  </si>
  <si>
    <t>Hematology &amp; bone-marrow transplant hospitals</t>
  </si>
  <si>
    <t xml:space="preserve">29/01/2024 </t>
  </si>
  <si>
    <t>Zhejiang Taimei Medical Technology Co., Ltd. †</t>
  </si>
  <si>
    <t>eClinical SaaS (TrialOS)</t>
  </si>
  <si>
    <t>Beijing KangLeWeiShi Biotechnology Co., Ltd. †</t>
  </si>
  <si>
    <t>HPV vaccines</t>
  </si>
  <si>
    <t xml:space="preserve">26/01/2024 </t>
  </si>
  <si>
    <t>Zhejiang Tongyuankang Pharmaceutical Co., Ltd. †</t>
  </si>
  <si>
    <t>3rd-gen EGFR-TKI TY-9591</t>
  </si>
  <si>
    <t>26/07/2024</t>
  </si>
  <si>
    <t>iFLYTEK Healthcare Technology Co., Ltd. †</t>
  </si>
  <si>
    <t>Huatai, GF, CCBI</t>
  </si>
  <si>
    <t>Medical LLM (Spark Medical)</t>
  </si>
  <si>
    <t>24/07/2024</t>
  </si>
  <si>
    <t>Hangzhou Jiuyuan Gene Engineering Co., Ltd. †</t>
  </si>
  <si>
    <t>rhBMP-2 bone-repair implant</t>
  </si>
  <si>
    <t>Guangdong Dongyangguang Pharmaceutical Co., Ltd. †</t>
  </si>
  <si>
    <t>Oseltamivir (Kewei)</t>
  </si>
  <si>
    <t>31/05/2024</t>
  </si>
  <si>
    <t>Tide Pharmaceutical (Zhejiang) Co., Ltd. †</t>
  </si>
  <si>
    <t>Peptide CRDMO services</t>
  </si>
  <si>
    <r>
      <rPr>
        <sz val="8"/>
        <color theme="1"/>
        <rFont val="Calibri"/>
        <family val="2"/>
      </rPr>
      <t>南京诺令生物科技股份有限公司</t>
    </r>
  </si>
  <si>
    <r>
      <rPr>
        <sz val="8"/>
        <color theme="1"/>
        <rFont val="Calibri"/>
        <family val="2"/>
      </rPr>
      <t>北京五和博澳药业股份有限公司</t>
    </r>
  </si>
  <si>
    <r>
      <t>Samborn (</t>
    </r>
    <r>
      <rPr>
        <sz val="8"/>
        <color theme="1"/>
        <rFont val="Calibri"/>
        <family val="2"/>
      </rPr>
      <t>桑博恩</t>
    </r>
    <r>
      <rPr>
        <sz val="8"/>
        <color theme="1"/>
        <rFont val="Arial"/>
        <family val="2"/>
      </rPr>
      <t>) - approved natural drug for Type 2 diabetes; metabolic and oncology pipeline.</t>
    </r>
  </si>
  <si>
    <r>
      <rPr>
        <sz val="8"/>
        <color theme="1"/>
        <rFont val="Calibri"/>
        <family val="2"/>
      </rPr>
      <t>锦欣康养产业集团有限公司</t>
    </r>
  </si>
  <si>
    <r>
      <t>Medical-eldercare integrated services (</t>
    </r>
    <r>
      <rPr>
        <sz val="8"/>
        <color theme="1"/>
        <rFont val="Calibri"/>
        <family val="2"/>
      </rPr>
      <t>医养结合</t>
    </r>
    <r>
      <rPr>
        <sz val="8"/>
        <color theme="1"/>
        <rFont val="Arial"/>
        <family val="2"/>
      </rPr>
      <t>) for high-age seniors (80+).</t>
    </r>
  </si>
  <si>
    <r>
      <rPr>
        <sz val="8"/>
        <color theme="1"/>
        <rFont val="Calibri"/>
        <family val="2"/>
      </rPr>
      <t>天辰生物医药（苏州）股份有限公司</t>
    </r>
  </si>
  <si>
    <r>
      <rPr>
        <sz val="8"/>
        <color theme="1"/>
        <rFont val="Calibri"/>
        <family val="2"/>
      </rPr>
      <t>山东汉方制药股份有限公司</t>
    </r>
  </si>
  <si>
    <r>
      <t>Compound Phellodendron Liquid (</t>
    </r>
    <r>
      <rPr>
        <sz val="8"/>
        <color theme="1"/>
        <rFont val="Calibri"/>
        <family val="2"/>
      </rPr>
      <t>复方黄柏液涂剂</t>
    </r>
    <r>
      <rPr>
        <sz val="8"/>
        <color theme="1"/>
        <rFont val="Arial"/>
        <family val="2"/>
      </rPr>
      <t>) - external-use TCM for skin and mucosal diseases (#4 in China).</t>
    </r>
  </si>
  <si>
    <r>
      <rPr>
        <sz val="8"/>
        <color theme="1"/>
        <rFont val="Calibri"/>
        <family val="2"/>
      </rPr>
      <t>苏州引航生物科技股份有限公司</t>
    </r>
  </si>
  <si>
    <r>
      <rPr>
        <sz val="8"/>
        <color theme="1"/>
        <rFont val="Calibri"/>
        <family val="2"/>
      </rPr>
      <t>浙江京新药业股份有限公司</t>
    </r>
  </si>
  <si>
    <r>
      <rPr>
        <sz val="8"/>
        <color theme="1"/>
        <rFont val="Calibri"/>
        <family val="2"/>
      </rPr>
      <t>杭州糖吉医疗科技股份有限公司</t>
    </r>
  </si>
  <si>
    <r>
      <rPr>
        <sz val="8"/>
        <color theme="1"/>
        <rFont val="Calibri"/>
        <family val="2"/>
      </rPr>
      <t>普莱医药（江苏）股份有限公司</t>
    </r>
  </si>
  <si>
    <r>
      <rPr>
        <sz val="8"/>
        <color theme="1"/>
        <rFont val="Calibri"/>
        <family val="2"/>
      </rPr>
      <t>深圳易慕峰生物科技股份有限公司</t>
    </r>
  </si>
  <si>
    <r>
      <rPr>
        <sz val="8"/>
        <color theme="1"/>
        <rFont val="Calibri"/>
        <family val="2"/>
      </rPr>
      <t>维眸生物科技（浙江）股份有限公司</t>
    </r>
  </si>
  <si>
    <r>
      <rPr>
        <sz val="8"/>
        <color theme="1"/>
        <rFont val="Calibri"/>
        <family val="2"/>
      </rPr>
      <t>深圳信立泰药业股份有限公司</t>
    </r>
  </si>
  <si>
    <r>
      <rPr>
        <sz val="8"/>
        <color theme="1"/>
        <rFont val="Calibri"/>
        <family val="2"/>
      </rPr>
      <t>仙乐健康科技股份有限公司</t>
    </r>
  </si>
  <si>
    <r>
      <rPr>
        <sz val="8"/>
        <color theme="1"/>
        <rFont val="Calibri"/>
        <family val="2"/>
      </rPr>
      <t>博纳西亚（杭州）医药科技股份有限公司</t>
    </r>
  </si>
  <si>
    <r>
      <rPr>
        <sz val="8"/>
        <color theme="1"/>
        <rFont val="Calibri"/>
        <family val="2"/>
      </rPr>
      <t>迪哲（江苏）医药股份有限公司</t>
    </r>
  </si>
  <si>
    <r>
      <rPr>
        <sz val="8"/>
        <color theme="1"/>
        <rFont val="Calibri"/>
        <family val="2"/>
      </rPr>
      <t>康诺生物制药股份有限公司</t>
    </r>
  </si>
  <si>
    <r>
      <t>Enaide (</t>
    </r>
    <r>
      <rPr>
        <sz val="8"/>
        <color theme="1"/>
        <rFont val="Calibri"/>
        <family val="2"/>
      </rPr>
      <t>恩艾地</t>
    </r>
    <r>
      <rPr>
        <sz val="8"/>
        <color theme="1"/>
        <rFont val="Arial"/>
        <family val="2"/>
      </rPr>
      <t>, Coenzyme I Injection) - only domestically developed and globally approved NAD+ drug.</t>
    </r>
  </si>
  <si>
    <r>
      <rPr>
        <sz val="8"/>
        <color theme="1"/>
        <rFont val="Calibri"/>
        <family val="2"/>
      </rPr>
      <t>丹諾醫藥（蘇州）股份有限公司</t>
    </r>
    <r>
      <rPr>
        <sz val="8"/>
        <color theme="1"/>
        <rFont val="Arial"/>
        <family val="2"/>
      </rPr>
      <t xml:space="preserve"> - B</t>
    </r>
  </si>
  <si>
    <r>
      <rPr>
        <sz val="8"/>
        <color theme="1"/>
        <rFont val="Calibri"/>
        <family val="2"/>
      </rPr>
      <t>北京普祺医药科技股份有限公司</t>
    </r>
  </si>
  <si>
    <r>
      <rPr>
        <sz val="8"/>
        <color theme="1"/>
        <rFont val="Calibri"/>
        <family val="2"/>
      </rPr>
      <t>征祥医药（南京）集团股份有限公司</t>
    </r>
  </si>
  <si>
    <r>
      <t>Marceloxavir (</t>
    </r>
    <r>
      <rPr>
        <sz val="8"/>
        <color theme="1"/>
        <rFont val="Calibri"/>
        <family val="2"/>
      </rPr>
      <t>玛硒洛沙韦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Calibri"/>
        <family val="2"/>
      </rPr>
      <t>济可舒</t>
    </r>
    <r>
      <rPr>
        <sz val="8"/>
        <color theme="1"/>
        <rFont val="Arial"/>
        <family val="2"/>
      </rPr>
      <t>) - PA endonuclease inhibitor for adult influenza, approved Jul 2025.</t>
    </r>
  </si>
  <si>
    <r>
      <rPr>
        <sz val="8"/>
        <color theme="1"/>
        <rFont val="Calibri"/>
        <family val="2"/>
      </rPr>
      <t>勤浩醫藥（蘇州）股份有限公司</t>
    </r>
  </si>
  <si>
    <r>
      <rPr>
        <sz val="8"/>
        <color theme="1"/>
        <rFont val="Calibri"/>
        <family val="2"/>
      </rPr>
      <t>泰励生物有限公司</t>
    </r>
  </si>
  <si>
    <r>
      <rPr>
        <sz val="8"/>
        <color theme="1"/>
        <rFont val="Calibri"/>
        <family val="2"/>
      </rPr>
      <t>哈爾濱譽研堂中醫門診集團股份有限公司</t>
    </r>
  </si>
  <si>
    <r>
      <rPr>
        <sz val="8"/>
        <color theme="1"/>
        <rFont val="Calibri"/>
        <family val="2"/>
      </rPr>
      <t>北京同仁堂醫養投資股份有限公司</t>
    </r>
  </si>
  <si>
    <r>
      <rPr>
        <sz val="8"/>
        <color theme="1"/>
        <rFont val="Calibri"/>
        <family val="2"/>
      </rPr>
      <t>上海奥科达医药科技股份有限公司</t>
    </r>
  </si>
  <si>
    <r>
      <rPr>
        <sz val="8"/>
        <color theme="1"/>
        <rFont val="Calibri"/>
        <family val="2"/>
      </rPr>
      <t>杭州邦顺制药股份有限公司</t>
    </r>
  </si>
  <si>
    <r>
      <t>Bezunostat (</t>
    </r>
    <r>
      <rPr>
        <sz val="8"/>
        <color theme="1"/>
        <rFont val="Calibri"/>
        <family val="2"/>
      </rPr>
      <t>贝泽昔替尼</t>
    </r>
    <r>
      <rPr>
        <sz val="8"/>
        <color theme="1"/>
        <rFont val="Arial"/>
        <family val="2"/>
      </rPr>
      <t>) - JAK2 inhibitor for myelofibrosis (NDA filed); CX1440 in registrational stage.</t>
    </r>
  </si>
  <si>
    <r>
      <rPr>
        <sz val="8"/>
        <color theme="1"/>
        <rFont val="Calibri"/>
        <family val="2"/>
      </rPr>
      <t>湖南西子健康集團股份有限公司</t>
    </r>
  </si>
  <si>
    <r>
      <rPr>
        <sz val="8"/>
        <color theme="1"/>
        <rFont val="Calibri"/>
        <family val="2"/>
      </rPr>
      <t>浙江博銳生物製藥股份有限公司</t>
    </r>
  </si>
  <si>
    <r>
      <rPr>
        <sz val="8"/>
        <color theme="1"/>
        <rFont val="Calibri"/>
        <family val="2"/>
      </rPr>
      <t>上海多寧生物科技股份有限公司</t>
    </r>
  </si>
  <si>
    <r>
      <rPr>
        <sz val="8"/>
        <color theme="1"/>
        <rFont val="Calibri"/>
        <family val="2"/>
      </rPr>
      <t>益方生物科技（上海）股份有限公司</t>
    </r>
  </si>
  <si>
    <r>
      <rPr>
        <sz val="8"/>
        <color theme="1"/>
        <rFont val="Calibri"/>
        <family val="2"/>
      </rPr>
      <t>亦諾微醫藥</t>
    </r>
  </si>
  <si>
    <r>
      <rPr>
        <sz val="8"/>
        <color theme="1"/>
        <rFont val="Calibri"/>
        <family val="2"/>
      </rPr>
      <t>蓮池醫院集團股份有限公司</t>
    </r>
  </si>
  <si>
    <r>
      <rPr>
        <sz val="8"/>
        <color theme="1"/>
        <rFont val="Calibri"/>
        <family val="2"/>
      </rPr>
      <t>成都賾靈生物醫藥科技股份有限公司</t>
    </r>
  </si>
  <si>
    <r>
      <rPr>
        <sz val="8"/>
        <color theme="1"/>
        <rFont val="Calibri"/>
        <family val="2"/>
      </rPr>
      <t>上海生生醫藥冷鏈科技股份有限公司</t>
    </r>
  </si>
  <si>
    <r>
      <rPr>
        <sz val="8"/>
        <color theme="1"/>
        <rFont val="Calibri"/>
        <family val="2"/>
      </rPr>
      <t>杭州德適生物科技股份有限公司</t>
    </r>
  </si>
  <si>
    <r>
      <rPr>
        <sz val="8"/>
        <color theme="1"/>
        <rFont val="Calibri"/>
        <family val="2"/>
      </rPr>
      <t>上海萬怡醫學科技股份有限公司</t>
    </r>
  </si>
  <si>
    <r>
      <rPr>
        <sz val="8"/>
        <color theme="1"/>
        <rFont val="Calibri"/>
        <family val="2"/>
      </rPr>
      <t>景澤生物醫藥</t>
    </r>
    <r>
      <rPr>
        <sz val="8"/>
        <color theme="1"/>
        <rFont val="Arial"/>
        <family val="2"/>
      </rPr>
      <t xml:space="preserve"> (</t>
    </r>
    <r>
      <rPr>
        <sz val="8"/>
        <color theme="1"/>
        <rFont val="Calibri"/>
        <family val="2"/>
      </rPr>
      <t>合肥</t>
    </r>
    <r>
      <rPr>
        <sz val="8"/>
        <color theme="1"/>
        <rFont val="Arial"/>
        <family val="2"/>
      </rPr>
      <t>)</t>
    </r>
    <r>
      <rPr>
        <sz val="8"/>
        <color theme="1"/>
        <rFont val="Calibri"/>
        <family val="2"/>
      </rPr>
      <t>股份有限公司</t>
    </r>
  </si>
  <si>
    <r>
      <rPr>
        <sz val="8"/>
        <color theme="1"/>
        <rFont val="Calibri"/>
        <family val="2"/>
      </rPr>
      <t>悅康藥業集團股份有限公司</t>
    </r>
  </si>
  <si>
    <r>
      <rPr>
        <sz val="8"/>
        <color theme="1"/>
        <rFont val="Calibri"/>
        <family val="2"/>
      </rPr>
      <t>廣州新濟醫藥股份有限公司</t>
    </r>
  </si>
  <si>
    <r>
      <rPr>
        <sz val="8"/>
        <color theme="1"/>
        <rFont val="Calibri"/>
        <family val="2"/>
      </rPr>
      <t>石藥創新製藥股份有限公司</t>
    </r>
  </si>
  <si>
    <r>
      <rPr>
        <sz val="8"/>
        <color theme="1"/>
        <rFont val="Calibri"/>
        <family val="2"/>
      </rPr>
      <t>科酈有限公司</t>
    </r>
  </si>
  <si>
    <r>
      <rPr>
        <sz val="8"/>
        <color theme="1"/>
        <rFont val="Calibri"/>
        <family val="2"/>
      </rPr>
      <t>未來穿戴健康科技股份有限公司</t>
    </r>
  </si>
  <si>
    <r>
      <rPr>
        <sz val="8"/>
        <color theme="1"/>
        <rFont val="Calibri"/>
        <family val="2"/>
      </rPr>
      <t>上海君賽生物股份有限公司</t>
    </r>
  </si>
  <si>
    <r>
      <rPr>
        <sz val="8"/>
        <color theme="1"/>
        <rFont val="Calibri"/>
        <family val="2"/>
      </rPr>
      <t>杭州高光製藥股份有限公司</t>
    </r>
  </si>
  <si>
    <r>
      <rPr>
        <sz val="8"/>
        <color theme="1"/>
        <rFont val="Calibri"/>
        <family val="2"/>
      </rPr>
      <t>倍通數智開曼控股有限公司</t>
    </r>
  </si>
  <si>
    <r>
      <rPr>
        <sz val="8"/>
        <color theme="1"/>
        <rFont val="Calibri"/>
        <family val="2"/>
      </rPr>
      <t>贛州和美藥業股份有限公司</t>
    </r>
  </si>
  <si>
    <r>
      <rPr>
        <sz val="8"/>
        <color theme="1"/>
        <rFont val="Calibri"/>
        <family val="2"/>
      </rPr>
      <t>凌科藥業</t>
    </r>
    <r>
      <rPr>
        <sz val="8"/>
        <color theme="1"/>
        <rFont val="Arial"/>
        <family val="2"/>
      </rPr>
      <t>(</t>
    </r>
    <r>
      <rPr>
        <sz val="8"/>
        <color theme="1"/>
        <rFont val="Calibri"/>
        <family val="2"/>
      </rPr>
      <t>浙江</t>
    </r>
    <r>
      <rPr>
        <sz val="8"/>
        <color theme="1"/>
        <rFont val="Arial"/>
        <family val="2"/>
      </rPr>
      <t>)</t>
    </r>
    <r>
      <rPr>
        <sz val="8"/>
        <color theme="1"/>
        <rFont val="Calibri"/>
        <family val="2"/>
      </rPr>
      <t>股份有限公司</t>
    </r>
  </si>
  <si>
    <r>
      <rPr>
        <sz val="8"/>
        <color theme="1"/>
        <rFont val="Calibri"/>
        <family val="2"/>
      </rPr>
      <t>浙江時邁藥業股份有限公司</t>
    </r>
  </si>
  <si>
    <r>
      <rPr>
        <sz val="8"/>
        <color theme="1"/>
        <rFont val="Calibri"/>
        <family val="2"/>
      </rPr>
      <t>科望醫藥集團</t>
    </r>
  </si>
  <si>
    <r>
      <rPr>
        <sz val="8"/>
        <color theme="1"/>
        <rFont val="Calibri"/>
        <family val="2"/>
      </rPr>
      <t>明宇制药有限公司</t>
    </r>
  </si>
  <si>
    <r>
      <rPr>
        <sz val="8"/>
        <color theme="1"/>
        <rFont val="Calibri"/>
        <family val="2"/>
      </rPr>
      <t>科興生物製藥股份有限公司</t>
    </r>
  </si>
  <si>
    <r>
      <rPr>
        <sz val="8"/>
        <color theme="1"/>
        <rFont val="Calibri"/>
        <family val="2"/>
      </rPr>
      <t>博瑞生物醫藥（蘇州）股份有限公司</t>
    </r>
  </si>
  <si>
    <r>
      <rPr>
        <sz val="8"/>
        <color theme="1"/>
        <rFont val="Calibri"/>
        <family val="2"/>
      </rPr>
      <t>深圳邁瑞生物醫療電子股份有限公司</t>
    </r>
  </si>
  <si>
    <r>
      <rPr>
        <sz val="8"/>
        <color theme="1"/>
        <rFont val="Calibri"/>
        <family val="2"/>
      </rPr>
      <t>真實生物科技有限公司</t>
    </r>
  </si>
  <si>
    <r>
      <rPr>
        <sz val="8"/>
        <color theme="1"/>
        <rFont val="Calibri"/>
        <family val="2"/>
      </rPr>
      <t>南京海納醫藥科技股份有限公司</t>
    </r>
  </si>
  <si>
    <r>
      <rPr>
        <sz val="8"/>
        <color theme="1"/>
        <rFont val="Calibri"/>
        <family val="2"/>
      </rPr>
      <t>新橋生物</t>
    </r>
  </si>
  <si>
    <r>
      <rPr>
        <sz val="8"/>
        <color theme="1"/>
        <rFont val="Calibri"/>
        <family val="2"/>
      </rPr>
      <t>江西生物製品研究所股份有限公司</t>
    </r>
  </si>
  <si>
    <r>
      <rPr>
        <sz val="8"/>
        <color theme="1"/>
        <rFont val="Calibri"/>
        <family val="2"/>
      </rPr>
      <t>四川新荷花中藥飲片股份有限公司</t>
    </r>
  </si>
  <si>
    <r>
      <rPr>
        <sz val="8"/>
        <color theme="1"/>
        <rFont val="Calibri"/>
        <family val="2"/>
      </rPr>
      <t>安徽華恒生物科技股份有限公司</t>
    </r>
  </si>
  <si>
    <r>
      <rPr>
        <sz val="8"/>
        <color theme="1"/>
        <rFont val="Calibri"/>
        <family val="2"/>
      </rPr>
      <t>武漢濱會生物科技股份有限公司</t>
    </r>
  </si>
  <si>
    <r>
      <rPr>
        <sz val="8"/>
        <color theme="1"/>
        <rFont val="Calibri"/>
        <family val="2"/>
      </rPr>
      <t>貝達藥業股份有限公司</t>
    </r>
  </si>
  <si>
    <r>
      <rPr>
        <sz val="8"/>
        <color theme="1"/>
        <rFont val="Calibri"/>
        <family val="2"/>
      </rPr>
      <t>靖因藥業</t>
    </r>
  </si>
  <si>
    <r>
      <rPr>
        <sz val="8"/>
        <color theme="1"/>
        <rFont val="Calibri"/>
        <family val="2"/>
      </rPr>
      <t>煙臺藍納成生物技術股份有限公司</t>
    </r>
  </si>
  <si>
    <r>
      <rPr>
        <sz val="8"/>
        <color theme="1"/>
        <rFont val="Calibri"/>
        <family val="2"/>
      </rPr>
      <t>四川好醫生雲醫療科技集團股份有限公司</t>
    </r>
  </si>
  <si>
    <r>
      <rPr>
        <sz val="8"/>
        <color theme="1"/>
        <rFont val="Calibri"/>
        <family val="2"/>
      </rPr>
      <t>陝西麥科奧特醫藥科技股份有限公司</t>
    </r>
  </si>
  <si>
    <r>
      <rPr>
        <sz val="8"/>
        <color theme="1"/>
        <rFont val="Calibri"/>
        <family val="2"/>
      </rPr>
      <t>武漢艾米森生命科技股份有限公司</t>
    </r>
  </si>
  <si>
    <r>
      <rPr>
        <sz val="8"/>
        <color theme="1"/>
        <rFont val="Calibri"/>
        <family val="2"/>
      </rPr>
      <t>杭州新元素藥業股份有限公司</t>
    </r>
  </si>
  <si>
    <r>
      <rPr>
        <sz val="8"/>
        <color theme="1"/>
        <rFont val="Calibri"/>
        <family val="2"/>
      </rPr>
      <t>上海愛科百發生物醫藥技術股份有限公司</t>
    </r>
  </si>
  <si>
    <r>
      <rPr>
        <sz val="8"/>
        <color theme="1"/>
        <rFont val="Calibri"/>
        <family val="2"/>
      </rPr>
      <t>甫康生物科技（上海）股份有限公司</t>
    </r>
    <r>
      <rPr>
        <sz val="8"/>
        <color theme="1"/>
        <rFont val="Arial"/>
        <family val="2"/>
      </rPr>
      <t xml:space="preserve"> - B</t>
    </r>
  </si>
  <si>
    <r>
      <rPr>
        <sz val="8"/>
        <color theme="1"/>
        <rFont val="Calibri"/>
        <family val="2"/>
      </rPr>
      <t>‑</t>
    </r>
    <r>
      <rPr>
        <sz val="8"/>
        <color theme="1"/>
        <rFont val="Arial"/>
        <family val="2"/>
      </rPr>
      <t>75.1</t>
    </r>
  </si>
  <si>
    <r>
      <rPr>
        <sz val="8"/>
        <color theme="1"/>
        <rFont val="Calibri"/>
        <family val="2"/>
      </rPr>
      <t>應世生物</t>
    </r>
  </si>
  <si>
    <r>
      <rPr>
        <sz val="8"/>
        <color theme="1"/>
        <rFont val="Calibri"/>
        <family val="2"/>
      </rPr>
      <t>天辰生物醫藥（蘇州）股份有限公司</t>
    </r>
    <r>
      <rPr>
        <sz val="8"/>
        <color theme="1"/>
        <rFont val="Arial"/>
        <family val="2"/>
      </rPr>
      <t xml:space="preserve"> - B</t>
    </r>
  </si>
  <si>
    <r>
      <rPr>
        <sz val="8"/>
        <color theme="1"/>
        <rFont val="Calibri"/>
        <family val="2"/>
      </rPr>
      <t>‑</t>
    </r>
    <r>
      <rPr>
        <sz val="8"/>
        <color theme="1"/>
        <rFont val="Arial"/>
        <family val="2"/>
      </rPr>
      <t>137.3</t>
    </r>
  </si>
  <si>
    <r>
      <rPr>
        <sz val="8"/>
        <color theme="1"/>
        <rFont val="Calibri"/>
        <family val="2"/>
      </rPr>
      <t>宜品營養科技</t>
    </r>
    <r>
      <rPr>
        <sz val="8"/>
        <color theme="1"/>
        <rFont val="Arial"/>
        <family val="2"/>
      </rPr>
      <t>(</t>
    </r>
    <r>
      <rPr>
        <sz val="8"/>
        <color theme="1"/>
        <rFont val="Calibri"/>
        <family val="2"/>
      </rPr>
      <t>青島</t>
    </r>
    <r>
      <rPr>
        <sz val="8"/>
        <color theme="1"/>
        <rFont val="Arial"/>
        <family val="2"/>
      </rPr>
      <t>)</t>
    </r>
    <r>
      <rPr>
        <sz val="8"/>
        <color theme="1"/>
        <rFont val="Calibri"/>
        <family val="2"/>
      </rPr>
      <t>集團股份有限公司</t>
    </r>
  </si>
  <si>
    <r>
      <rPr>
        <sz val="8"/>
        <color theme="1"/>
        <rFont val="Calibri"/>
        <family val="2"/>
      </rPr>
      <t>邁威</t>
    </r>
    <r>
      <rPr>
        <sz val="8"/>
        <color theme="1"/>
        <rFont val="Arial"/>
        <family val="2"/>
      </rPr>
      <t>(</t>
    </r>
    <r>
      <rPr>
        <sz val="8"/>
        <color theme="1"/>
        <rFont val="Calibri"/>
        <family val="2"/>
      </rPr>
      <t>上海</t>
    </r>
    <r>
      <rPr>
        <sz val="8"/>
        <color theme="1"/>
        <rFont val="Arial"/>
        <family val="2"/>
      </rPr>
      <t>)</t>
    </r>
    <r>
      <rPr>
        <sz val="8"/>
        <color theme="1"/>
        <rFont val="Calibri"/>
        <family val="2"/>
      </rPr>
      <t>生物科技股份有限公司</t>
    </r>
    <r>
      <rPr>
        <sz val="8"/>
        <color theme="1"/>
        <rFont val="Arial"/>
        <family val="2"/>
      </rPr>
      <t xml:space="preserve"> - B</t>
    </r>
  </si>
  <si>
    <r>
      <rPr>
        <sz val="8"/>
        <color theme="1"/>
        <rFont val="Calibri"/>
        <family val="2"/>
      </rPr>
      <t>上海寶濟藥業股份有限公司</t>
    </r>
    <r>
      <rPr>
        <sz val="8"/>
        <color theme="1"/>
        <rFont val="Arial"/>
        <family val="2"/>
      </rPr>
      <t xml:space="preserve"> - B</t>
    </r>
  </si>
  <si>
    <r>
      <rPr>
        <sz val="8"/>
        <color theme="1"/>
        <rFont val="Calibri"/>
        <family val="2"/>
      </rPr>
      <t>‑</t>
    </r>
    <r>
      <rPr>
        <sz val="8"/>
        <color theme="1"/>
        <rFont val="Arial"/>
        <family val="2"/>
      </rPr>
      <t>364.433</t>
    </r>
  </si>
  <si>
    <r>
      <rPr>
        <sz val="8"/>
        <color theme="1"/>
        <rFont val="Calibri"/>
        <family val="2"/>
      </rPr>
      <t>華芢生物科技（青島）股份有限公司</t>
    </r>
    <r>
      <rPr>
        <sz val="8"/>
        <color theme="1"/>
        <rFont val="Arial"/>
        <family val="2"/>
      </rPr>
      <t xml:space="preserve"> - B</t>
    </r>
  </si>
  <si>
    <r>
      <rPr>
        <sz val="8"/>
        <color theme="1"/>
        <rFont val="Calibri"/>
        <family val="2"/>
      </rPr>
      <t>‑</t>
    </r>
    <r>
      <rPr>
        <sz val="8"/>
        <color theme="1"/>
        <rFont val="Arial"/>
        <family val="2"/>
      </rPr>
      <t>212.250</t>
    </r>
  </si>
  <si>
    <r>
      <rPr>
        <sz val="8"/>
        <color theme="1"/>
        <rFont val="Calibri"/>
        <family val="2"/>
      </rPr>
      <t>樂舒適有限公司</t>
    </r>
  </si>
  <si>
    <r>
      <rPr>
        <sz val="8"/>
        <color theme="1"/>
        <rFont val="Calibri"/>
        <family val="2"/>
      </rPr>
      <t>正品控股有限公司</t>
    </r>
  </si>
  <si>
    <r>
      <rPr>
        <sz val="8"/>
        <color theme="1"/>
        <rFont val="Calibri"/>
        <family val="2"/>
      </rPr>
      <t>福建海西新藥創製股份有限公司</t>
    </r>
  </si>
  <si>
    <r>
      <rPr>
        <sz val="8"/>
        <color theme="1"/>
        <rFont val="Calibri"/>
        <family val="2"/>
      </rPr>
      <t>蘇州旺山旺水生物醫藥股份有限公司</t>
    </r>
    <r>
      <rPr>
        <sz val="8"/>
        <color theme="1"/>
        <rFont val="Arial"/>
        <family val="2"/>
      </rPr>
      <t xml:space="preserve"> - B</t>
    </r>
  </si>
  <si>
    <r>
      <rPr>
        <sz val="8"/>
        <color theme="1"/>
        <rFont val="Calibri"/>
        <family val="2"/>
      </rPr>
      <t>‑</t>
    </r>
    <r>
      <rPr>
        <sz val="8"/>
        <color theme="1"/>
        <rFont val="Arial"/>
        <family val="2"/>
      </rPr>
      <t>211.4</t>
    </r>
  </si>
  <si>
    <r>
      <rPr>
        <sz val="8"/>
        <color theme="1"/>
        <rFont val="Calibri"/>
        <family val="2"/>
      </rPr>
      <t>問止中醫</t>
    </r>
  </si>
  <si>
    <r>
      <rPr>
        <sz val="8"/>
        <color theme="1"/>
        <rFont val="Calibri"/>
        <family val="2"/>
      </rPr>
      <t>湖南麥濟生物技術股份有限公司</t>
    </r>
    <r>
      <rPr>
        <sz val="8"/>
        <color theme="1"/>
        <rFont val="Arial"/>
        <family val="2"/>
      </rPr>
      <t xml:space="preserve"> - B</t>
    </r>
  </si>
  <si>
    <r>
      <rPr>
        <sz val="8"/>
        <color theme="1"/>
        <rFont val="Calibri"/>
        <family val="2"/>
      </rPr>
      <t>普祥健康控股有限公司</t>
    </r>
  </si>
  <si>
    <r>
      <rPr>
        <sz val="8"/>
        <color theme="1"/>
        <rFont val="Calibri"/>
        <family val="2"/>
      </rPr>
      <t>百力司康</t>
    </r>
  </si>
  <si>
    <r>
      <rPr>
        <sz val="8"/>
        <color theme="1"/>
        <rFont val="Calibri"/>
        <family val="2"/>
      </rPr>
      <t>健康</t>
    </r>
    <r>
      <rPr>
        <sz val="8"/>
        <color theme="1"/>
        <rFont val="Arial"/>
        <family val="2"/>
      </rPr>
      <t>160</t>
    </r>
    <r>
      <rPr>
        <sz val="8"/>
        <color theme="1"/>
        <rFont val="Calibri"/>
        <family val="2"/>
      </rPr>
      <t>国际有限公司</t>
    </r>
  </si>
  <si>
    <r>
      <t xml:space="preserve">B2B healthcare supplies distribution; online platform; small B2C business in </t>
    </r>
    <r>
      <rPr>
        <sz val="8"/>
        <color theme="1"/>
        <rFont val="等线"/>
        <family val="2"/>
      </rPr>
      <t>挂号</t>
    </r>
    <r>
      <rPr>
        <sz val="8"/>
        <color theme="1"/>
        <rFont val="Arial"/>
        <family val="2"/>
      </rPr>
      <t>, etc,</t>
    </r>
  </si>
  <si>
    <r>
      <rPr>
        <sz val="8"/>
        <color theme="1"/>
        <rFont val="Calibri"/>
        <family val="2"/>
      </rPr>
      <t>贛州和美藥業股份有限公司</t>
    </r>
    <r>
      <rPr>
        <sz val="8"/>
        <color theme="1"/>
        <rFont val="Arial"/>
        <family val="2"/>
      </rPr>
      <t xml:space="preserve"> - B</t>
    </r>
  </si>
  <si>
    <r>
      <rPr>
        <sz val="8"/>
        <color theme="1"/>
        <rFont val="Calibri"/>
        <family val="2"/>
      </rPr>
      <t>長風藥業股份有限公司</t>
    </r>
  </si>
  <si>
    <r>
      <rPr>
        <sz val="8"/>
        <color theme="1"/>
        <rFont val="Calibri"/>
        <family val="2"/>
      </rPr>
      <t>翰思艾泰生物醫藥科技（武漢）股份有限公司</t>
    </r>
    <r>
      <rPr>
        <sz val="8"/>
        <color theme="1"/>
        <rFont val="Arial"/>
        <family val="2"/>
      </rPr>
      <t xml:space="preserve"> - B</t>
    </r>
  </si>
  <si>
    <r>
      <rPr>
        <sz val="8"/>
        <color theme="1"/>
        <rFont val="Calibri"/>
        <family val="2"/>
      </rPr>
      <t>聖桐特醫（青島）營養健康科技股份公司</t>
    </r>
  </si>
  <si>
    <r>
      <rPr>
        <sz val="8"/>
        <color theme="1"/>
        <rFont val="Calibri"/>
        <family val="2"/>
      </rPr>
      <t>東方妍美</t>
    </r>
    <r>
      <rPr>
        <sz val="8"/>
        <color theme="1"/>
        <rFont val="Arial"/>
        <family val="2"/>
      </rPr>
      <t>(</t>
    </r>
    <r>
      <rPr>
        <sz val="8"/>
        <color theme="1"/>
        <rFont val="Calibri"/>
        <family val="2"/>
      </rPr>
      <t>成都</t>
    </r>
    <r>
      <rPr>
        <sz val="8"/>
        <color theme="1"/>
        <rFont val="Arial"/>
        <family val="2"/>
      </rPr>
      <t>)</t>
    </r>
    <r>
      <rPr>
        <sz val="8"/>
        <color theme="1"/>
        <rFont val="Calibri"/>
        <family val="2"/>
      </rPr>
      <t>生物技術股份有限公司</t>
    </r>
    <r>
      <rPr>
        <sz val="8"/>
        <color theme="1"/>
        <rFont val="Arial"/>
        <family val="2"/>
      </rPr>
      <t xml:space="preserve"> - B</t>
    </r>
  </si>
  <si>
    <r>
      <rPr>
        <sz val="8"/>
        <color theme="1"/>
        <rFont val="Calibri"/>
        <family val="2"/>
      </rPr>
      <t>西安大医集团股份有限公司</t>
    </r>
    <r>
      <rPr>
        <sz val="8"/>
        <color theme="1"/>
        <rFont val="Arial"/>
        <family val="2"/>
      </rPr>
      <t xml:space="preserve"> - B</t>
    </r>
  </si>
  <si>
    <r>
      <rPr>
        <sz val="8"/>
        <color theme="1"/>
        <rFont val="Calibri"/>
        <family val="2"/>
      </rPr>
      <t>安序源科技</t>
    </r>
  </si>
  <si>
    <r>
      <rPr>
        <sz val="8"/>
        <color theme="1"/>
        <rFont val="Calibri"/>
        <family val="2"/>
      </rPr>
      <t>南京普愛醫療設備股份有限公司</t>
    </r>
  </si>
  <si>
    <r>
      <rPr>
        <sz val="8"/>
        <color theme="1"/>
        <rFont val="Calibri"/>
        <family val="2"/>
      </rPr>
      <t>卓正醫療</t>
    </r>
  </si>
  <si>
    <r>
      <rPr>
        <sz val="8"/>
        <color theme="1"/>
        <rFont val="Calibri"/>
        <family val="2"/>
      </rPr>
      <t>四川百利天恒藥業股份有限公司</t>
    </r>
  </si>
  <si>
    <r>
      <t>Ab&amp;B Bio</t>
    </r>
    <r>
      <rPr>
        <sz val="8"/>
        <color theme="1"/>
        <rFont val="Calibri"/>
        <family val="2"/>
      </rPr>
      <t>‑</t>
    </r>
    <r>
      <rPr>
        <sz val="8"/>
        <color theme="1"/>
        <rFont val="Arial"/>
        <family val="2"/>
      </rPr>
      <t>Tech CO., LTD. JS</t>
    </r>
  </si>
  <si>
    <r>
      <rPr>
        <sz val="8"/>
        <color theme="1"/>
        <rFont val="Calibri"/>
        <family val="2"/>
      </rPr>
      <t>江蘇中慧元通生物科技股份有限公司</t>
    </r>
  </si>
  <si>
    <r>
      <rPr>
        <sz val="8"/>
        <color theme="1"/>
        <rFont val="Calibri"/>
        <family val="2"/>
      </rPr>
      <t>微醫控股有限公司</t>
    </r>
  </si>
  <si>
    <r>
      <rPr>
        <sz val="8"/>
        <color theme="1"/>
        <rFont val="Calibri"/>
        <family val="2"/>
      </rPr>
      <t>勁方醫藥科技（上海）股份有限公司</t>
    </r>
  </si>
  <si>
    <r>
      <rPr>
        <sz val="8"/>
        <color theme="1"/>
        <rFont val="Calibri"/>
        <family val="2"/>
      </rPr>
      <t>廣州銀諾醫藥集團股份有限公司</t>
    </r>
  </si>
  <si>
    <r>
      <rPr>
        <sz val="8"/>
        <color theme="1"/>
        <rFont val="Calibri"/>
        <family val="2"/>
      </rPr>
      <t>拨康视云</t>
    </r>
  </si>
  <si>
    <r>
      <rPr>
        <sz val="8"/>
        <color theme="1"/>
        <rFont val="Calibri"/>
        <family val="2"/>
      </rPr>
      <t>武漢大眾口腔醫療股份有限公司</t>
    </r>
  </si>
  <si>
    <r>
      <rPr>
        <sz val="8"/>
        <color theme="1"/>
        <rFont val="Calibri"/>
        <family val="2"/>
      </rPr>
      <t>南京維立志博生物科技股份有限公司</t>
    </r>
  </si>
  <si>
    <r>
      <rPr>
        <sz val="8"/>
        <color theme="1"/>
        <rFont val="Calibri"/>
        <family val="2"/>
      </rPr>
      <t>上海細胞治療集團股份有限公司</t>
    </r>
  </si>
  <si>
    <r>
      <rPr>
        <sz val="8"/>
        <color theme="1"/>
        <rFont val="Calibri"/>
        <family val="2"/>
      </rPr>
      <t>軒竹生物科技股份有限公司</t>
    </r>
  </si>
  <si>
    <r>
      <rPr>
        <sz val="8"/>
        <color theme="1"/>
        <rFont val="Calibri"/>
        <family val="2"/>
      </rPr>
      <t>翰思艾泰生物醫藥科技（武漢）股份有限公司</t>
    </r>
  </si>
  <si>
    <r>
      <rPr>
        <sz val="8"/>
        <color theme="1"/>
        <rFont val="Calibri"/>
        <family val="2"/>
      </rPr>
      <t>華芢生物科技（青島）股份有限公司</t>
    </r>
  </si>
  <si>
    <r>
      <rPr>
        <sz val="8"/>
        <color theme="1"/>
        <rFont val="Calibri"/>
        <family val="2"/>
      </rPr>
      <t>觅瑞集团控股有限公司</t>
    </r>
  </si>
  <si>
    <r>
      <rPr>
        <sz val="8"/>
        <color theme="1"/>
        <rFont val="Calibri"/>
        <family val="2"/>
      </rPr>
      <t>健康</t>
    </r>
    <r>
      <rPr>
        <sz val="8"/>
        <color theme="1"/>
        <rFont val="Arial"/>
        <family val="2"/>
      </rPr>
      <t>160</t>
    </r>
    <r>
      <rPr>
        <sz val="8"/>
        <color theme="1"/>
        <rFont val="Calibri"/>
        <family val="2"/>
      </rPr>
      <t>國際有限公司</t>
    </r>
  </si>
  <si>
    <r>
      <rPr>
        <sz val="8"/>
        <color theme="1"/>
        <rFont val="Calibri"/>
        <family val="2"/>
      </rPr>
      <t>明基醫院集團股份有限公司</t>
    </r>
  </si>
  <si>
    <r>
      <rPr>
        <sz val="8"/>
        <color theme="1"/>
        <rFont val="Calibri"/>
        <family val="2"/>
      </rPr>
      <t>澤輝生物科技有限公司</t>
    </r>
  </si>
  <si>
    <r>
      <rPr>
        <sz val="8"/>
        <color theme="1"/>
        <rFont val="Calibri"/>
        <family val="2"/>
      </rPr>
      <t>爱维艾夫医院管理集团有限公司</t>
    </r>
  </si>
  <si>
    <r>
      <rPr>
        <sz val="8"/>
        <color theme="1"/>
        <rFont val="Calibri"/>
        <family val="2"/>
      </rPr>
      <t>映恩生物</t>
    </r>
  </si>
  <si>
    <r>
      <rPr>
        <sz val="8"/>
        <color theme="1"/>
        <rFont val="Calibri"/>
        <family val="2"/>
      </rPr>
      <t>科望医药集团</t>
    </r>
  </si>
  <si>
    <r>
      <rPr>
        <sz val="8"/>
        <color theme="1"/>
        <rFont val="Calibri"/>
        <family val="2"/>
      </rPr>
      <t>‑</t>
    </r>
    <r>
      <rPr>
        <sz val="8"/>
        <color theme="1"/>
        <rFont val="Arial"/>
        <family val="2"/>
      </rPr>
      <t>88.0</t>
    </r>
  </si>
  <si>
    <r>
      <rPr>
        <sz val="8"/>
        <color theme="1"/>
        <rFont val="Calibri"/>
        <family val="2"/>
      </rPr>
      <t>藥捷安康（南京）科技股份有限公司</t>
    </r>
  </si>
  <si>
    <r>
      <rPr>
        <sz val="8"/>
        <color theme="1"/>
        <rFont val="Calibri"/>
        <family val="2"/>
      </rPr>
      <t>卓正医疗控股有限公司</t>
    </r>
  </si>
  <si>
    <r>
      <rPr>
        <sz val="8"/>
        <color theme="1"/>
        <rFont val="Calibri"/>
        <family val="2"/>
      </rPr>
      <t>優迅醫學生物科技</t>
    </r>
  </si>
  <si>
    <r>
      <rPr>
        <sz val="8"/>
        <color theme="1"/>
        <rFont val="Calibri"/>
        <family val="2"/>
      </rPr>
      <t>脑动极光医疗科技有限公司</t>
    </r>
  </si>
  <si>
    <r>
      <rPr>
        <sz val="8"/>
        <color theme="1"/>
        <rFont val="Calibri"/>
        <family val="2"/>
      </rPr>
      <t>英矽智能</t>
    </r>
  </si>
  <si>
    <r>
      <rPr>
        <sz val="8"/>
        <color theme="1"/>
        <rFont val="Calibri"/>
        <family val="2"/>
      </rPr>
      <t>樹蘭醫療管理股份有限公司</t>
    </r>
  </si>
  <si>
    <r>
      <rPr>
        <sz val="8"/>
        <color theme="1"/>
        <rFont val="Calibri"/>
        <family val="2"/>
      </rPr>
      <t>維昇藥業</t>
    </r>
  </si>
  <si>
    <r>
      <rPr>
        <sz val="8"/>
        <color theme="1"/>
        <rFont val="Calibri"/>
        <family val="2"/>
      </rPr>
      <t>陸道培醫療集團</t>
    </r>
  </si>
  <si>
    <r>
      <rPr>
        <sz val="8"/>
        <color theme="1"/>
        <rFont val="Calibri"/>
        <family val="2"/>
      </rPr>
      <t>浙江太美醫療科技股份有限公司</t>
    </r>
  </si>
  <si>
    <r>
      <rPr>
        <sz val="8"/>
        <color theme="1"/>
        <rFont val="Calibri"/>
        <family val="2"/>
      </rPr>
      <t>北京康樂衛士生物技術股份有限公司</t>
    </r>
  </si>
  <si>
    <r>
      <rPr>
        <sz val="8"/>
        <color theme="1"/>
        <rFont val="Calibri"/>
        <family val="2"/>
      </rPr>
      <t>浙江同源康醫藥股份有限公司</t>
    </r>
  </si>
  <si>
    <r>
      <rPr>
        <sz val="8"/>
        <color theme="1"/>
        <rFont val="Calibri"/>
        <family val="2"/>
      </rPr>
      <t>訊飛醫療科技股份有限公司</t>
    </r>
  </si>
  <si>
    <r>
      <rPr>
        <sz val="8"/>
        <color theme="1"/>
        <rFont val="Calibri"/>
        <family val="2"/>
      </rPr>
      <t>杭州九源基因工程股份有限公司</t>
    </r>
  </si>
  <si>
    <r>
      <rPr>
        <sz val="8"/>
        <color theme="1"/>
        <rFont val="Calibri"/>
        <family val="2"/>
      </rPr>
      <t>廣東東陽光藥業股份有限公司</t>
    </r>
  </si>
  <si>
    <r>
      <rPr>
        <sz val="8"/>
        <color theme="1"/>
        <rFont val="Calibri"/>
        <family val="2"/>
      </rPr>
      <t>泰德醫藥（浙江）股份有限公司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</si>
</sst>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i/>
      <sz val="8"/>
      <color theme="1"/>
      <name val="Arial"/>
      <family val="2"/>
    </font>
    <font>
      <sz val="8"/>
      <color theme="1"/>
      <name val="等线"/>
      <family val="2"/>
    </font>
    <font>
      <u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5" fillId="0" borderId="0"/>
  </cellStyleXfs>
  <cellXfs count="43">
    <xf numFmtId="0" fontId="0" fillId="0" borderId="0" xfId="0"/>
    <xf numFmtId="0" fontId="2" fillId="0" borderId="0" xfId="1" applyFont="1" applyAlignment="1">
      <alignment vertical="center"/>
    </xf>
    <xf numFmtId="0" fontId="2" fillId="0" borderId="0" xfId="2" applyFont="1"/>
    <xf numFmtId="0" fontId="2" fillId="0" borderId="0" xfId="2" applyFont="1" applyAlignment="1">
      <alignment horizontal="center"/>
    </xf>
    <xf numFmtId="0" fontId="2" fillId="0" borderId="0" xfId="2" applyFont="1" applyAlignment="1">
      <alignment horizontal="left"/>
    </xf>
    <xf numFmtId="0" fontId="2" fillId="0" borderId="0" xfId="2" applyFont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wrapText="1"/>
    </xf>
    <xf numFmtId="0" fontId="3" fillId="2" borderId="0" xfId="2" applyFont="1" applyFill="1" applyAlignment="1">
      <alignment horizontal="center" vertical="center" wrapText="1"/>
    </xf>
    <xf numFmtId="0" fontId="2" fillId="4" borderId="0" xfId="2" applyFont="1" applyFill="1" applyAlignment="1">
      <alignment horizontal="left" vertical="center"/>
    </xf>
    <xf numFmtId="0" fontId="2" fillId="4" borderId="0" xfId="2" applyFont="1" applyFill="1" applyAlignment="1">
      <alignment vertical="center"/>
    </xf>
    <xf numFmtId="0" fontId="2" fillId="4" borderId="0" xfId="2" applyFont="1" applyFill="1" applyAlignment="1">
      <alignment horizontal="center" vertical="center"/>
    </xf>
    <xf numFmtId="39" fontId="2" fillId="0" borderId="0" xfId="2" applyNumberFormat="1" applyFont="1" applyAlignment="1">
      <alignment horizontal="center" vertical="center"/>
    </xf>
    <xf numFmtId="0" fontId="2" fillId="0" borderId="0" xfId="2" applyFont="1" applyAlignment="1">
      <alignment horizontal="left" vertical="center"/>
    </xf>
    <xf numFmtId="14" fontId="2" fillId="0" borderId="0" xfId="2" applyNumberFormat="1" applyFont="1" applyAlignment="1">
      <alignment horizontal="left" vertical="center"/>
    </xf>
    <xf numFmtId="4" fontId="2" fillId="0" borderId="0" xfId="2" applyNumberFormat="1" applyFont="1" applyAlignment="1">
      <alignment vertical="center"/>
    </xf>
    <xf numFmtId="14" fontId="2" fillId="0" borderId="0" xfId="2" applyNumberFormat="1" applyFont="1"/>
    <xf numFmtId="4" fontId="2" fillId="0" borderId="0" xfId="2" applyNumberFormat="1" applyFont="1"/>
    <xf numFmtId="4" fontId="2" fillId="0" borderId="0" xfId="2" applyNumberFormat="1" applyFont="1" applyAlignment="1">
      <alignment horizontal="left" vertical="center"/>
    </xf>
    <xf numFmtId="14" fontId="2" fillId="0" borderId="0" xfId="2" applyNumberFormat="1" applyFont="1" applyAlignment="1">
      <alignment horizontal="left"/>
    </xf>
    <xf numFmtId="14" fontId="2" fillId="0" borderId="0" xfId="2" applyNumberFormat="1" applyFont="1" applyAlignment="1">
      <alignment vertical="center"/>
    </xf>
    <xf numFmtId="0" fontId="2" fillId="0" borderId="0" xfId="2" applyFont="1" applyAlignment="1">
      <alignment horizontal="right"/>
    </xf>
    <xf numFmtId="17" fontId="2" fillId="0" borderId="0" xfId="2" applyNumberFormat="1" applyFont="1"/>
    <xf numFmtId="14" fontId="2" fillId="0" borderId="0" xfId="2" applyNumberFormat="1" applyFont="1" applyAlignment="1">
      <alignment horizontal="right"/>
    </xf>
    <xf numFmtId="17" fontId="2" fillId="0" borderId="0" xfId="2" applyNumberFormat="1" applyFont="1" applyAlignment="1">
      <alignment vertical="center"/>
    </xf>
    <xf numFmtId="0" fontId="2" fillId="3" borderId="0" xfId="2" applyFont="1" applyFill="1" applyAlignment="1">
      <alignment horizontal="left" vertical="center"/>
    </xf>
    <xf numFmtId="0" fontId="2" fillId="0" borderId="0" xfId="0" applyFont="1"/>
    <xf numFmtId="0" fontId="7" fillId="0" borderId="0" xfId="2" applyFont="1" applyAlignment="1">
      <alignment horizontal="center" vertical="center"/>
    </xf>
    <xf numFmtId="4" fontId="2" fillId="0" borderId="0" xfId="2" applyNumberFormat="1" applyFont="1" applyAlignment="1">
      <alignment horizontal="left"/>
    </xf>
    <xf numFmtId="0" fontId="3" fillId="0" borderId="0" xfId="2" applyFont="1" applyAlignment="1">
      <alignment vertical="center"/>
    </xf>
    <xf numFmtId="4" fontId="3" fillId="0" borderId="0" xfId="2" applyNumberFormat="1" applyFont="1" applyAlignment="1">
      <alignment vertical="center"/>
    </xf>
    <xf numFmtId="14" fontId="3" fillId="0" borderId="0" xfId="2" applyNumberFormat="1" applyFont="1" applyAlignment="1">
      <alignment vertical="center"/>
    </xf>
    <xf numFmtId="14" fontId="2" fillId="0" borderId="1" xfId="2" applyNumberFormat="1" applyFont="1" applyBorder="1" applyAlignment="1">
      <alignment horizontal="left"/>
    </xf>
    <xf numFmtId="0" fontId="2" fillId="0" borderId="1" xfId="2" applyFont="1" applyBorder="1" applyAlignment="1">
      <alignment vertical="center"/>
    </xf>
    <xf numFmtId="0" fontId="2" fillId="0" borderId="1" xfId="2" applyFont="1" applyBorder="1"/>
    <xf numFmtId="39" fontId="2" fillId="0" borderId="1" xfId="2" applyNumberFormat="1" applyFont="1" applyBorder="1" applyAlignment="1">
      <alignment horizontal="center" vertical="center"/>
    </xf>
    <xf numFmtId="0" fontId="3" fillId="0" borderId="2" xfId="2" applyFont="1" applyBorder="1" applyAlignment="1">
      <alignment horizontal="center"/>
    </xf>
    <xf numFmtId="0" fontId="2" fillId="0" borderId="1" xfId="2" applyFont="1" applyBorder="1" applyAlignment="1">
      <alignment horizontal="left"/>
    </xf>
    <xf numFmtId="0" fontId="3" fillId="0" borderId="1" xfId="2" applyFont="1" applyBorder="1" applyAlignment="1">
      <alignment horizontal="center" vertical="center"/>
    </xf>
    <xf numFmtId="3" fontId="2" fillId="0" borderId="0" xfId="2" applyNumberFormat="1" applyFont="1"/>
    <xf numFmtId="0" fontId="9" fillId="0" borderId="0" xfId="3" applyFont="1" applyAlignment="1">
      <alignment vertical="center"/>
    </xf>
    <xf numFmtId="0" fontId="2" fillId="5" borderId="0" xfId="2" applyFont="1" applyFill="1"/>
    <xf numFmtId="0" fontId="2" fillId="0" borderId="1" xfId="2" applyFont="1" applyBorder="1" applyAlignment="1">
      <alignment horizontal="center"/>
    </xf>
  </cellXfs>
  <cellStyles count="4">
    <cellStyle name="Hyperlink 2" xfId="3" xr:uid="{00000000-0005-0000-0000-000003000000}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T212"/>
  <sheetViews>
    <sheetView showGridLines="0" tabSelected="1" zoomScaleNormal="100" workbookViewId="0">
      <selection activeCell="E11" sqref="E11"/>
    </sheetView>
  </sheetViews>
  <sheetFormatPr baseColWidth="10" defaultColWidth="8.6640625" defaultRowHeight="12" customHeight="1" outlineLevelRow="1" outlineLevelCol="1"/>
  <cols>
    <col min="1" max="1" width="2.6640625" style="2" customWidth="1"/>
    <col min="2" max="2" width="14.33203125" style="2" hidden="1" customWidth="1" outlineLevel="1"/>
    <col min="3" max="3" width="12.1640625" style="4" customWidth="1" collapsed="1"/>
    <col min="4" max="4" width="35.5" style="5" customWidth="1"/>
    <col min="5" max="5" width="25.5" style="5" customWidth="1"/>
    <col min="6" max="6" width="11.83203125" style="3" customWidth="1"/>
    <col min="7" max="7" width="57" style="2" customWidth="1"/>
    <col min="8" max="8" width="14.1640625" style="5" customWidth="1"/>
    <col min="9" max="9" width="14.1640625" style="2" customWidth="1"/>
    <col min="10" max="10" width="15.5" style="21" customWidth="1"/>
    <col min="11" max="11" width="16.5" style="21" customWidth="1"/>
    <col min="12" max="12" width="13" style="21" customWidth="1"/>
    <col min="13" max="13" width="58.83203125" style="2" customWidth="1"/>
    <col min="14" max="14" width="42" style="2" bestFit="1" customWidth="1"/>
    <col min="15" max="15" width="19.6640625" style="2" customWidth="1"/>
    <col min="16" max="16" width="13" style="2" customWidth="1"/>
    <col min="17" max="17" width="10.83203125" style="2" customWidth="1"/>
    <col min="18" max="18" width="8.6640625" style="2" customWidth="1"/>
    <col min="19" max="16384" width="8.6640625" style="2"/>
  </cols>
  <sheetData>
    <row r="1" spans="1:14" ht="12" customHeight="1">
      <c r="A1" s="1" t="s">
        <v>0</v>
      </c>
      <c r="E1" s="5" t="s">
        <v>1</v>
      </c>
      <c r="J1" s="6" t="s">
        <v>2</v>
      </c>
      <c r="K1" s="6" t="s">
        <v>2</v>
      </c>
      <c r="L1" s="6" t="s">
        <v>2</v>
      </c>
    </row>
    <row r="2" spans="1:14" s="7" customFormat="1" ht="31.5" customHeight="1"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</row>
    <row r="3" spans="1:14" s="5" customFormat="1" ht="12" customHeight="1">
      <c r="A3" s="13"/>
      <c r="B3" s="24"/>
      <c r="C3" s="14">
        <v>46025</v>
      </c>
      <c r="D3" s="25" t="s">
        <v>16</v>
      </c>
      <c r="E3" s="13" t="s">
        <v>583</v>
      </c>
      <c r="F3" s="6" t="s">
        <v>17</v>
      </c>
      <c r="G3" s="13" t="s">
        <v>18</v>
      </c>
      <c r="H3" s="26" t="s">
        <v>19</v>
      </c>
      <c r="I3" s="5" t="s">
        <v>20</v>
      </c>
      <c r="J3" s="12">
        <v>46</v>
      </c>
      <c r="K3" s="12">
        <v>-86</v>
      </c>
      <c r="L3" s="12">
        <v>69</v>
      </c>
      <c r="M3" s="13" t="s">
        <v>21</v>
      </c>
      <c r="N3" s="13"/>
    </row>
    <row r="4" spans="1:14" s="5" customFormat="1" ht="12" customHeight="1">
      <c r="A4" s="13"/>
      <c r="B4" s="24"/>
      <c r="C4" s="13" t="s">
        <v>22</v>
      </c>
      <c r="D4" s="25" t="s">
        <v>23</v>
      </c>
      <c r="E4" s="13" t="s">
        <v>584</v>
      </c>
      <c r="F4" s="6" t="s">
        <v>17</v>
      </c>
      <c r="G4" s="13" t="s">
        <v>24</v>
      </c>
      <c r="H4" s="26" t="s">
        <v>25</v>
      </c>
      <c r="I4" s="5" t="s">
        <v>26</v>
      </c>
      <c r="J4" s="12">
        <v>208</v>
      </c>
      <c r="K4" s="12">
        <v>-110</v>
      </c>
      <c r="L4" s="12"/>
      <c r="M4" s="13" t="s">
        <v>585</v>
      </c>
      <c r="N4" s="13"/>
    </row>
    <row r="5" spans="1:14" s="5" customFormat="1" ht="12" customHeight="1">
      <c r="A5" s="13"/>
      <c r="B5" s="24"/>
      <c r="C5" s="13" t="s">
        <v>22</v>
      </c>
      <c r="D5" s="9" t="s">
        <v>27</v>
      </c>
      <c r="E5" s="10" t="s">
        <v>28</v>
      </c>
      <c r="F5" s="11" t="s">
        <v>17</v>
      </c>
      <c r="G5" s="9" t="s">
        <v>29</v>
      </c>
      <c r="H5" s="5" t="s">
        <v>19</v>
      </c>
      <c r="I5" s="5" t="s">
        <v>30</v>
      </c>
      <c r="J5" s="12">
        <v>399.44</v>
      </c>
      <c r="K5" s="12">
        <v>80.567999999999998</v>
      </c>
      <c r="L5" s="12">
        <v>273.52600000000001</v>
      </c>
      <c r="M5" s="5" t="s">
        <v>31</v>
      </c>
      <c r="N5" s="2" t="s">
        <v>32</v>
      </c>
    </row>
    <row r="6" spans="1:14" s="5" customFormat="1" ht="12" customHeight="1">
      <c r="A6" s="13"/>
      <c r="B6" s="24"/>
      <c r="C6" s="13" t="s">
        <v>33</v>
      </c>
      <c r="D6" s="25" t="s">
        <v>34</v>
      </c>
      <c r="E6" s="13" t="s">
        <v>586</v>
      </c>
      <c r="F6" s="6" t="s">
        <v>35</v>
      </c>
      <c r="G6" s="13" t="s">
        <v>36</v>
      </c>
      <c r="H6" s="26" t="s">
        <v>37</v>
      </c>
      <c r="I6" s="5" t="s">
        <v>38</v>
      </c>
      <c r="J6" s="12">
        <v>605</v>
      </c>
      <c r="K6" s="12">
        <v>40</v>
      </c>
      <c r="L6" s="12"/>
      <c r="M6" s="13" t="s">
        <v>587</v>
      </c>
      <c r="N6" s="13"/>
    </row>
    <row r="7" spans="1:14" s="5" customFormat="1" ht="12" customHeight="1">
      <c r="A7" s="13"/>
      <c r="B7" s="24"/>
      <c r="C7" s="13" t="s">
        <v>33</v>
      </c>
      <c r="D7" s="25" t="s">
        <v>39</v>
      </c>
      <c r="E7" s="13" t="s">
        <v>588</v>
      </c>
      <c r="F7" s="6" t="s">
        <v>17</v>
      </c>
      <c r="G7" s="13" t="s">
        <v>40</v>
      </c>
      <c r="H7" s="26" t="s">
        <v>25</v>
      </c>
      <c r="I7" s="5" t="s">
        <v>41</v>
      </c>
      <c r="J7" s="12" t="s">
        <v>42</v>
      </c>
      <c r="K7" s="12">
        <v>-137</v>
      </c>
      <c r="L7" s="12"/>
      <c r="M7" s="13" t="s">
        <v>43</v>
      </c>
      <c r="N7" s="13"/>
    </row>
    <row r="8" spans="1:14" s="5" customFormat="1" ht="12" customHeight="1">
      <c r="A8" s="13"/>
      <c r="B8" s="24"/>
      <c r="C8" s="13" t="s">
        <v>33</v>
      </c>
      <c r="D8" s="25" t="s">
        <v>44</v>
      </c>
      <c r="E8" s="13" t="s">
        <v>589</v>
      </c>
      <c r="F8" s="6" t="s">
        <v>17</v>
      </c>
      <c r="G8" s="13" t="s">
        <v>45</v>
      </c>
      <c r="H8" s="26" t="s">
        <v>46</v>
      </c>
      <c r="I8" s="5" t="s">
        <v>47</v>
      </c>
      <c r="J8" s="12">
        <v>992</v>
      </c>
      <c r="K8" s="12">
        <v>198</v>
      </c>
      <c r="L8" s="12"/>
      <c r="M8" s="13" t="s">
        <v>590</v>
      </c>
      <c r="N8" s="13"/>
    </row>
    <row r="9" spans="1:14" s="5" customFormat="1" ht="12" customHeight="1">
      <c r="A9" s="13"/>
      <c r="B9" s="24"/>
      <c r="C9" s="13" t="s">
        <v>33</v>
      </c>
      <c r="D9" s="25" t="s">
        <v>48</v>
      </c>
      <c r="E9" s="13" t="s">
        <v>591</v>
      </c>
      <c r="F9" s="6" t="s">
        <v>17</v>
      </c>
      <c r="G9" s="13" t="s">
        <v>49</v>
      </c>
      <c r="H9" s="26" t="s">
        <v>50</v>
      </c>
      <c r="I9" s="5" t="s">
        <v>26</v>
      </c>
      <c r="J9" s="12">
        <v>345</v>
      </c>
      <c r="K9" s="12">
        <v>-254</v>
      </c>
      <c r="L9" s="12">
        <v>70</v>
      </c>
      <c r="M9" s="13" t="s">
        <v>51</v>
      </c>
      <c r="N9" s="13"/>
    </row>
    <row r="10" spans="1:14" s="5" customFormat="1" ht="12" customHeight="1">
      <c r="A10" s="13"/>
      <c r="B10" s="24"/>
      <c r="C10" s="13" t="s">
        <v>33</v>
      </c>
      <c r="D10" s="25" t="s">
        <v>52</v>
      </c>
      <c r="E10" s="13" t="s">
        <v>592</v>
      </c>
      <c r="F10" s="6" t="s">
        <v>17</v>
      </c>
      <c r="G10" s="13" t="s">
        <v>53</v>
      </c>
      <c r="H10" s="26" t="s">
        <v>46</v>
      </c>
      <c r="I10" s="5" t="s">
        <v>54</v>
      </c>
      <c r="J10" s="12">
        <v>4159</v>
      </c>
      <c r="K10" s="12">
        <v>712</v>
      </c>
      <c r="L10" s="12">
        <v>316</v>
      </c>
      <c r="M10" s="13" t="s">
        <v>55</v>
      </c>
      <c r="N10" s="13"/>
    </row>
    <row r="11" spans="1:14" s="5" customFormat="1" ht="12" customHeight="1">
      <c r="A11" s="13"/>
      <c r="B11" s="24"/>
      <c r="C11" s="13" t="s">
        <v>56</v>
      </c>
      <c r="D11" s="25" t="s">
        <v>57</v>
      </c>
      <c r="E11" s="13" t="s">
        <v>593</v>
      </c>
      <c r="F11" s="6" t="s">
        <v>17</v>
      </c>
      <c r="G11" s="13" t="s">
        <v>58</v>
      </c>
      <c r="H11" s="26" t="s">
        <v>19</v>
      </c>
      <c r="I11" s="5" t="s">
        <v>59</v>
      </c>
      <c r="J11" s="12">
        <v>13</v>
      </c>
      <c r="K11" s="12">
        <v>-66</v>
      </c>
      <c r="L11" s="12">
        <v>30</v>
      </c>
      <c r="M11" s="13" t="s">
        <v>60</v>
      </c>
      <c r="N11" s="13"/>
    </row>
    <row r="12" spans="1:14" s="5" customFormat="1" ht="12" customHeight="1">
      <c r="A12" s="13"/>
      <c r="B12" s="24"/>
      <c r="C12" s="13" t="s">
        <v>61</v>
      </c>
      <c r="D12" s="25" t="s">
        <v>62</v>
      </c>
      <c r="E12" s="13" t="s">
        <v>594</v>
      </c>
      <c r="F12" s="6" t="s">
        <v>17</v>
      </c>
      <c r="G12" s="13" t="s">
        <v>63</v>
      </c>
      <c r="H12" s="26" t="s">
        <v>25</v>
      </c>
      <c r="I12" s="5" t="s">
        <v>54</v>
      </c>
      <c r="J12" s="12">
        <v>5</v>
      </c>
      <c r="K12" s="12">
        <v>-158</v>
      </c>
      <c r="L12" s="12"/>
      <c r="M12" s="13" t="s">
        <v>64</v>
      </c>
      <c r="N12" s="13"/>
    </row>
    <row r="13" spans="1:14" s="5" customFormat="1" ht="12" customHeight="1">
      <c r="A13" s="13"/>
      <c r="B13" s="24"/>
      <c r="C13" s="13" t="s">
        <v>61</v>
      </c>
      <c r="D13" s="25" t="s">
        <v>65</v>
      </c>
      <c r="E13" s="13" t="s">
        <v>595</v>
      </c>
      <c r="F13" s="6" t="s">
        <v>17</v>
      </c>
      <c r="G13" s="13" t="s">
        <v>66</v>
      </c>
      <c r="H13" s="26" t="s">
        <v>25</v>
      </c>
      <c r="I13" s="5" t="s">
        <v>26</v>
      </c>
      <c r="J13" s="12" t="s">
        <v>42</v>
      </c>
      <c r="K13" s="12">
        <v>-71</v>
      </c>
      <c r="L13" s="12">
        <v>140</v>
      </c>
      <c r="M13" s="13" t="s">
        <v>67</v>
      </c>
      <c r="N13" s="13"/>
    </row>
    <row r="14" spans="1:14" s="5" customFormat="1" ht="12" customHeight="1">
      <c r="A14" s="13"/>
      <c r="B14" s="24"/>
      <c r="C14" s="13" t="s">
        <v>61</v>
      </c>
      <c r="D14" s="25" t="s">
        <v>68</v>
      </c>
      <c r="E14" s="13" t="s">
        <v>596</v>
      </c>
      <c r="F14" s="6" t="s">
        <v>17</v>
      </c>
      <c r="G14" s="13" t="s">
        <v>69</v>
      </c>
      <c r="H14" s="26" t="s">
        <v>25</v>
      </c>
      <c r="I14" s="5" t="s">
        <v>70</v>
      </c>
      <c r="J14" s="12" t="s">
        <v>42</v>
      </c>
      <c r="K14" s="12">
        <v>-202</v>
      </c>
      <c r="L14" s="12"/>
      <c r="M14" s="13" t="s">
        <v>71</v>
      </c>
      <c r="N14" s="13"/>
    </row>
    <row r="15" spans="1:14" s="5" customFormat="1" ht="12" customHeight="1">
      <c r="A15" s="13"/>
      <c r="B15" s="24"/>
      <c r="C15" s="14">
        <v>46358</v>
      </c>
      <c r="D15" s="25" t="s">
        <v>72</v>
      </c>
      <c r="E15" s="13" t="s">
        <v>597</v>
      </c>
      <c r="F15" s="6" t="s">
        <v>17</v>
      </c>
      <c r="G15" s="13" t="s">
        <v>73</v>
      </c>
      <c r="H15" s="26" t="s">
        <v>46</v>
      </c>
      <c r="I15" s="5" t="s">
        <v>74</v>
      </c>
      <c r="J15" s="12">
        <v>4012</v>
      </c>
      <c r="K15" s="12">
        <v>602</v>
      </c>
      <c r="L15" s="12">
        <v>1322</v>
      </c>
      <c r="M15" s="13" t="s">
        <v>75</v>
      </c>
      <c r="N15" s="13"/>
    </row>
    <row r="16" spans="1:14" s="5" customFormat="1" ht="12" customHeight="1">
      <c r="A16" s="13"/>
      <c r="B16" s="24"/>
      <c r="C16" s="14">
        <v>46358</v>
      </c>
      <c r="D16" s="25" t="s">
        <v>76</v>
      </c>
      <c r="E16" s="13" t="s">
        <v>598</v>
      </c>
      <c r="F16" s="6" t="s">
        <v>17</v>
      </c>
      <c r="G16" s="13" t="s">
        <v>77</v>
      </c>
      <c r="H16" s="26" t="s">
        <v>78</v>
      </c>
      <c r="I16" s="5" t="s">
        <v>54</v>
      </c>
      <c r="J16" s="12">
        <v>4211</v>
      </c>
      <c r="K16" s="12">
        <v>325</v>
      </c>
      <c r="L16" s="12">
        <v>636</v>
      </c>
      <c r="M16" s="13" t="s">
        <v>79</v>
      </c>
      <c r="N16" s="13"/>
    </row>
    <row r="17" spans="1:14" s="5" customFormat="1" ht="12" customHeight="1">
      <c r="A17" s="13"/>
      <c r="B17" s="24"/>
      <c r="C17" s="14">
        <v>46328</v>
      </c>
      <c r="D17" s="25" t="s">
        <v>80</v>
      </c>
      <c r="E17" s="13" t="s">
        <v>599</v>
      </c>
      <c r="F17" s="6" t="s">
        <v>17</v>
      </c>
      <c r="G17" s="13" t="s">
        <v>81</v>
      </c>
      <c r="H17" s="26" t="s">
        <v>37</v>
      </c>
      <c r="I17" s="5" t="s">
        <v>82</v>
      </c>
      <c r="J17" s="12">
        <v>340</v>
      </c>
      <c r="K17" s="12">
        <v>67</v>
      </c>
      <c r="L17" s="12">
        <v>111</v>
      </c>
      <c r="M17" s="13" t="s">
        <v>83</v>
      </c>
      <c r="N17" s="13"/>
    </row>
    <row r="18" spans="1:14" s="5" customFormat="1" ht="12" customHeight="1">
      <c r="A18" s="13"/>
      <c r="B18" s="24"/>
      <c r="C18" s="14">
        <v>46144</v>
      </c>
      <c r="D18" s="25" t="s">
        <v>84</v>
      </c>
      <c r="E18" s="13" t="s">
        <v>600</v>
      </c>
      <c r="F18" s="6" t="s">
        <v>17</v>
      </c>
      <c r="G18" s="13" t="s">
        <v>85</v>
      </c>
      <c r="H18" s="26" t="s">
        <v>25</v>
      </c>
      <c r="I18" s="5" t="s">
        <v>86</v>
      </c>
      <c r="J18" s="12">
        <v>360</v>
      </c>
      <c r="K18" s="12">
        <v>-846</v>
      </c>
      <c r="L18" s="12">
        <v>840</v>
      </c>
      <c r="M18" s="13" t="s">
        <v>87</v>
      </c>
      <c r="N18" s="13"/>
    </row>
    <row r="19" spans="1:14" s="5" customFormat="1" ht="12" customHeight="1">
      <c r="A19" s="13"/>
      <c r="B19" s="24"/>
      <c r="C19" s="14">
        <v>46144</v>
      </c>
      <c r="D19" s="25" t="s">
        <v>88</v>
      </c>
      <c r="E19" s="13" t="s">
        <v>601</v>
      </c>
      <c r="F19" s="6" t="s">
        <v>17</v>
      </c>
      <c r="G19" s="13" t="s">
        <v>89</v>
      </c>
      <c r="H19" s="26" t="s">
        <v>46</v>
      </c>
      <c r="I19" s="5" t="s">
        <v>90</v>
      </c>
      <c r="J19" s="12">
        <v>240</v>
      </c>
      <c r="K19" s="12">
        <v>34</v>
      </c>
      <c r="L19" s="12"/>
      <c r="M19" s="13" t="s">
        <v>602</v>
      </c>
      <c r="N19" s="13"/>
    </row>
    <row r="20" spans="1:14" s="5" customFormat="1" ht="12" customHeight="1">
      <c r="A20" s="13"/>
      <c r="B20" s="24"/>
      <c r="C20" s="14">
        <v>46083</v>
      </c>
      <c r="D20" s="25" t="s">
        <v>91</v>
      </c>
      <c r="E20" s="13" t="s">
        <v>603</v>
      </c>
      <c r="F20" s="6" t="s">
        <v>35</v>
      </c>
      <c r="G20" s="13" t="s">
        <v>92</v>
      </c>
      <c r="H20" s="26" t="s">
        <v>25</v>
      </c>
      <c r="I20" s="5" t="s">
        <v>93</v>
      </c>
      <c r="J20" s="12">
        <v>0</v>
      </c>
      <c r="K20" s="12">
        <v>-145.9</v>
      </c>
      <c r="L20" s="12">
        <v>97.8</v>
      </c>
      <c r="M20" s="13" t="s">
        <v>94</v>
      </c>
      <c r="N20" s="13"/>
    </row>
    <row r="21" spans="1:14" s="5" customFormat="1" ht="12" customHeight="1">
      <c r="A21" s="13"/>
      <c r="B21" s="24"/>
      <c r="C21" s="14">
        <v>46055</v>
      </c>
      <c r="D21" s="25" t="s">
        <v>95</v>
      </c>
      <c r="E21" s="13" t="s">
        <v>604</v>
      </c>
      <c r="F21" s="6" t="s">
        <v>17</v>
      </c>
      <c r="G21" s="13" t="s">
        <v>96</v>
      </c>
      <c r="H21" s="26" t="s">
        <v>25</v>
      </c>
      <c r="I21" s="5" t="s">
        <v>97</v>
      </c>
      <c r="J21" s="12" t="s">
        <v>42</v>
      </c>
      <c r="K21" s="12">
        <v>-178</v>
      </c>
      <c r="L21" s="12">
        <v>150</v>
      </c>
      <c r="M21" s="13" t="s">
        <v>98</v>
      </c>
      <c r="N21" s="13"/>
    </row>
    <row r="22" spans="1:14" s="5" customFormat="1" ht="12" customHeight="1">
      <c r="A22" s="13"/>
      <c r="B22" s="24"/>
      <c r="C22" s="13" t="s">
        <v>99</v>
      </c>
      <c r="D22" s="25" t="s">
        <v>100</v>
      </c>
      <c r="E22" s="13" t="s">
        <v>605</v>
      </c>
      <c r="F22" s="6" t="s">
        <v>17</v>
      </c>
      <c r="G22" s="13" t="s">
        <v>101</v>
      </c>
      <c r="H22" s="26" t="s">
        <v>25</v>
      </c>
      <c r="I22" s="5" t="s">
        <v>70</v>
      </c>
      <c r="J22" s="12" t="s">
        <v>42</v>
      </c>
      <c r="K22" s="12">
        <v>-145</v>
      </c>
      <c r="L22" s="12">
        <v>270</v>
      </c>
      <c r="M22" s="13" t="s">
        <v>606</v>
      </c>
      <c r="N22" s="13"/>
    </row>
    <row r="23" spans="1:14" s="5" customFormat="1" ht="12" customHeight="1">
      <c r="A23" s="13"/>
      <c r="B23" s="24"/>
      <c r="C23" s="13" t="s">
        <v>102</v>
      </c>
      <c r="D23" s="25" t="s">
        <v>103</v>
      </c>
      <c r="E23" s="13" t="s">
        <v>607</v>
      </c>
      <c r="F23" s="6" t="s">
        <v>35</v>
      </c>
      <c r="G23" s="13" t="s">
        <v>104</v>
      </c>
      <c r="H23" s="26" t="s">
        <v>25</v>
      </c>
      <c r="I23" s="15" t="s">
        <v>26</v>
      </c>
      <c r="J23" s="12">
        <v>4.6900000000000004</v>
      </c>
      <c r="K23" s="12">
        <v>-151.77500000000001</v>
      </c>
      <c r="L23" s="12">
        <v>24.773</v>
      </c>
      <c r="M23" s="13" t="s">
        <v>105</v>
      </c>
      <c r="N23" s="13"/>
    </row>
    <row r="24" spans="1:14" s="5" customFormat="1" ht="12" customHeight="1">
      <c r="A24" s="13"/>
      <c r="B24" s="24"/>
      <c r="C24" s="13" t="s">
        <v>102</v>
      </c>
      <c r="D24" s="25" t="s">
        <v>106</v>
      </c>
      <c r="E24" s="13" t="s">
        <v>608</v>
      </c>
      <c r="F24" s="6" t="s">
        <v>35</v>
      </c>
      <c r="G24" s="13" t="s">
        <v>107</v>
      </c>
      <c r="H24" s="26" t="s">
        <v>25</v>
      </c>
      <c r="I24" s="5" t="s">
        <v>54</v>
      </c>
      <c r="J24" s="12">
        <v>8</v>
      </c>
      <c r="K24" s="12">
        <v>-70</v>
      </c>
      <c r="L24" s="12">
        <v>188</v>
      </c>
      <c r="M24" s="13" t="s">
        <v>108</v>
      </c>
      <c r="N24" s="13"/>
    </row>
    <row r="25" spans="1:14" s="5" customFormat="1" ht="12" customHeight="1">
      <c r="A25" s="13"/>
      <c r="B25" s="24"/>
      <c r="C25" s="13" t="s">
        <v>109</v>
      </c>
      <c r="D25" s="25" t="s">
        <v>110</v>
      </c>
      <c r="E25" s="13" t="s">
        <v>609</v>
      </c>
      <c r="F25" s="6" t="s">
        <v>17</v>
      </c>
      <c r="G25" s="13" t="s">
        <v>111</v>
      </c>
      <c r="H25" s="26" t="s">
        <v>112</v>
      </c>
      <c r="I25" s="5" t="s">
        <v>113</v>
      </c>
      <c r="J25" s="12">
        <v>215.2</v>
      </c>
      <c r="K25" s="12">
        <v>27.08</v>
      </c>
      <c r="L25" s="12">
        <v>54.441000000000003</v>
      </c>
      <c r="M25" s="13" t="s">
        <v>114</v>
      </c>
      <c r="N25" s="13"/>
    </row>
    <row r="26" spans="1:14" s="5" customFormat="1" ht="12" customHeight="1">
      <c r="A26" s="13"/>
      <c r="B26" s="24"/>
      <c r="C26" s="13" t="s">
        <v>115</v>
      </c>
      <c r="D26" s="25" t="s">
        <v>116</v>
      </c>
      <c r="E26" s="13" t="s">
        <v>610</v>
      </c>
      <c r="F26" s="6" t="s">
        <v>17</v>
      </c>
      <c r="G26" s="13" t="s">
        <v>117</v>
      </c>
      <c r="H26" s="26" t="s">
        <v>112</v>
      </c>
      <c r="I26" s="5" t="s">
        <v>70</v>
      </c>
      <c r="J26" s="12">
        <v>1175.0999999999999</v>
      </c>
      <c r="K26" s="12">
        <v>36.9</v>
      </c>
      <c r="L26" s="12">
        <v>296.7</v>
      </c>
      <c r="M26" s="13" t="s">
        <v>118</v>
      </c>
      <c r="N26" s="13"/>
    </row>
    <row r="27" spans="1:14" s="5" customFormat="1" ht="12" customHeight="1">
      <c r="A27" s="13"/>
      <c r="B27" s="24"/>
      <c r="C27" s="13" t="s">
        <v>115</v>
      </c>
      <c r="D27" s="25" t="s">
        <v>119</v>
      </c>
      <c r="E27" s="13" t="s">
        <v>611</v>
      </c>
      <c r="F27" s="6" t="s">
        <v>17</v>
      </c>
      <c r="G27" s="13" t="s">
        <v>120</v>
      </c>
      <c r="H27" s="26" t="s">
        <v>46</v>
      </c>
      <c r="I27" s="5" t="s">
        <v>121</v>
      </c>
      <c r="J27" s="12">
        <v>292</v>
      </c>
      <c r="K27" s="12">
        <v>7</v>
      </c>
      <c r="L27" s="12"/>
      <c r="M27" s="13" t="s">
        <v>122</v>
      </c>
      <c r="N27" s="13"/>
    </row>
    <row r="28" spans="1:14" s="5" customFormat="1" ht="12" customHeight="1">
      <c r="A28" s="13"/>
      <c r="B28" s="24"/>
      <c r="C28" s="13" t="s">
        <v>123</v>
      </c>
      <c r="D28" s="25" t="s">
        <v>124</v>
      </c>
      <c r="E28" s="13" t="s">
        <v>612</v>
      </c>
      <c r="F28" s="6" t="s">
        <v>17</v>
      </c>
      <c r="G28" s="13" t="s">
        <v>125</v>
      </c>
      <c r="H28" s="26" t="s">
        <v>25</v>
      </c>
      <c r="I28" s="5" t="s">
        <v>126</v>
      </c>
      <c r="J28" s="12" t="s">
        <v>42</v>
      </c>
      <c r="K28" s="12">
        <v>-88</v>
      </c>
      <c r="L28" s="12">
        <v>158</v>
      </c>
      <c r="M28" s="13" t="s">
        <v>613</v>
      </c>
      <c r="N28" s="13"/>
    </row>
    <row r="29" spans="1:14" s="5" customFormat="1" ht="12" customHeight="1">
      <c r="A29" s="13"/>
      <c r="B29" s="24"/>
      <c r="C29" s="13" t="s">
        <v>123</v>
      </c>
      <c r="D29" s="25" t="s">
        <v>127</v>
      </c>
      <c r="E29" s="13" t="s">
        <v>614</v>
      </c>
      <c r="F29" s="6" t="s">
        <v>17</v>
      </c>
      <c r="G29" s="13" t="s">
        <v>128</v>
      </c>
      <c r="H29" s="26" t="s">
        <v>78</v>
      </c>
      <c r="I29" s="5" t="s">
        <v>54</v>
      </c>
      <c r="J29" s="12">
        <v>1692.2280000000001</v>
      </c>
      <c r="K29" s="12">
        <v>149.274</v>
      </c>
      <c r="L29" s="12">
        <v>122.98099999999999</v>
      </c>
      <c r="M29" s="13" t="s">
        <v>129</v>
      </c>
      <c r="N29" s="13"/>
    </row>
    <row r="30" spans="1:14" s="5" customFormat="1" ht="12" customHeight="1">
      <c r="A30" s="13"/>
      <c r="B30" s="24"/>
      <c r="C30" s="13" t="s">
        <v>130</v>
      </c>
      <c r="D30" s="25" t="s">
        <v>131</v>
      </c>
      <c r="E30" s="13" t="s">
        <v>615</v>
      </c>
      <c r="F30" s="6" t="s">
        <v>17</v>
      </c>
      <c r="G30" s="13" t="s">
        <v>132</v>
      </c>
      <c r="H30" s="13" t="s">
        <v>25</v>
      </c>
      <c r="I30" s="5" t="s">
        <v>133</v>
      </c>
      <c r="J30" s="12">
        <v>1623.077</v>
      </c>
      <c r="K30" s="12">
        <v>91.295000000000002</v>
      </c>
      <c r="L30" s="12">
        <v>1102.22</v>
      </c>
      <c r="M30" s="13" t="s">
        <v>134</v>
      </c>
      <c r="N30" s="13"/>
    </row>
    <row r="31" spans="1:14" s="5" customFormat="1" ht="12" customHeight="1">
      <c r="A31" s="13"/>
      <c r="B31" s="24" t="s">
        <v>135</v>
      </c>
      <c r="C31" s="13" t="s">
        <v>136</v>
      </c>
      <c r="D31" s="13" t="s">
        <v>137</v>
      </c>
      <c r="E31" s="13" t="s">
        <v>616</v>
      </c>
      <c r="F31" s="6"/>
      <c r="G31" s="13"/>
      <c r="H31" s="5" t="s">
        <v>138</v>
      </c>
      <c r="I31" s="5" t="s">
        <v>139</v>
      </c>
      <c r="J31" s="12">
        <v>842.88</v>
      </c>
      <c r="K31" s="12">
        <v>-27.5</v>
      </c>
      <c r="L31" s="12">
        <v>223.73599999999999</v>
      </c>
      <c r="M31" s="13" t="s">
        <v>140</v>
      </c>
      <c r="N31" s="13"/>
    </row>
    <row r="32" spans="1:14" ht="12" customHeight="1">
      <c r="B32" s="22" t="s">
        <v>135</v>
      </c>
      <c r="C32" s="13" t="s">
        <v>141</v>
      </c>
      <c r="D32" s="9" t="s">
        <v>142</v>
      </c>
      <c r="E32" s="10" t="s">
        <v>143</v>
      </c>
      <c r="F32" s="11" t="s">
        <v>17</v>
      </c>
      <c r="G32" s="9" t="s">
        <v>144</v>
      </c>
      <c r="H32" s="5" t="s">
        <v>145</v>
      </c>
      <c r="I32" s="13" t="s">
        <v>146</v>
      </c>
      <c r="J32" s="12">
        <v>2035.3</v>
      </c>
      <c r="K32" s="12">
        <v>-75.8</v>
      </c>
      <c r="L32" s="12">
        <v>378</v>
      </c>
      <c r="M32" s="5" t="s">
        <v>147</v>
      </c>
      <c r="N32" s="13"/>
    </row>
    <row r="33" spans="1:14" ht="12" customHeight="1">
      <c r="A33" s="4"/>
      <c r="B33" s="22" t="s">
        <v>135</v>
      </c>
      <c r="C33" s="13" t="s">
        <v>141</v>
      </c>
      <c r="D33" s="13" t="s">
        <v>148</v>
      </c>
      <c r="E33" s="13" t="s">
        <v>609</v>
      </c>
      <c r="F33" s="6"/>
      <c r="G33" s="13"/>
      <c r="H33" s="5" t="s">
        <v>112</v>
      </c>
      <c r="I33" s="13" t="s">
        <v>113</v>
      </c>
      <c r="J33" s="12">
        <v>215.2</v>
      </c>
      <c r="K33" s="12">
        <v>27.08</v>
      </c>
      <c r="L33" s="12">
        <v>54.441000000000003</v>
      </c>
      <c r="M33" s="13" t="s">
        <v>114</v>
      </c>
      <c r="N33" s="13"/>
    </row>
    <row r="34" spans="1:14" ht="12" customHeight="1">
      <c r="B34" s="22" t="s">
        <v>135</v>
      </c>
      <c r="C34" s="13" t="s">
        <v>141</v>
      </c>
      <c r="D34" s="13" t="s">
        <v>149</v>
      </c>
      <c r="E34" s="13" t="s">
        <v>607</v>
      </c>
      <c r="F34" s="6"/>
      <c r="G34" s="13"/>
      <c r="H34" s="13" t="s">
        <v>25</v>
      </c>
      <c r="I34" s="15" t="s">
        <v>26</v>
      </c>
      <c r="J34" s="12">
        <v>4.6900000000000004</v>
      </c>
      <c r="K34" s="12">
        <v>-151.77500000000001</v>
      </c>
      <c r="L34" s="12">
        <v>24.773</v>
      </c>
      <c r="M34" s="13" t="s">
        <v>105</v>
      </c>
      <c r="N34" s="13"/>
    </row>
    <row r="35" spans="1:14" ht="12" customHeight="1">
      <c r="A35" s="4"/>
      <c r="B35" s="22" t="s">
        <v>135</v>
      </c>
      <c r="C35" s="13" t="s">
        <v>150</v>
      </c>
      <c r="D35" s="13" t="s">
        <v>151</v>
      </c>
      <c r="E35" s="13" t="s">
        <v>617</v>
      </c>
      <c r="F35" s="6"/>
      <c r="G35" s="13"/>
      <c r="H35" s="13" t="s">
        <v>25</v>
      </c>
      <c r="I35" s="5" t="s">
        <v>54</v>
      </c>
      <c r="J35" s="12">
        <v>168.79</v>
      </c>
      <c r="K35" s="12">
        <v>-240.20400000000001</v>
      </c>
      <c r="L35" s="12">
        <v>913.947</v>
      </c>
      <c r="M35" s="13" t="s">
        <v>152</v>
      </c>
      <c r="N35" s="13"/>
    </row>
    <row r="36" spans="1:14" ht="12" customHeight="1">
      <c r="A36" s="13"/>
      <c r="B36" s="22" t="s">
        <v>135</v>
      </c>
      <c r="C36" s="13" t="s">
        <v>153</v>
      </c>
      <c r="D36" s="13" t="s">
        <v>154</v>
      </c>
      <c r="E36" s="13" t="s">
        <v>155</v>
      </c>
      <c r="F36" s="6"/>
      <c r="G36" s="13"/>
      <c r="H36" s="13" t="s">
        <v>25</v>
      </c>
      <c r="I36" s="5" t="s">
        <v>20</v>
      </c>
      <c r="J36" s="12" t="s">
        <v>42</v>
      </c>
      <c r="K36" s="12">
        <v>-219.804</v>
      </c>
      <c r="L36" s="12">
        <v>278.62</v>
      </c>
      <c r="M36" s="13" t="s">
        <v>156</v>
      </c>
      <c r="N36" s="13"/>
    </row>
    <row r="37" spans="1:14" ht="12" customHeight="1">
      <c r="B37" s="22" t="s">
        <v>135</v>
      </c>
      <c r="C37" s="13" t="s">
        <v>153</v>
      </c>
      <c r="D37" s="13" t="s">
        <v>157</v>
      </c>
      <c r="E37" s="5" t="s">
        <v>618</v>
      </c>
      <c r="H37" s="5" t="s">
        <v>25</v>
      </c>
      <c r="I37" s="13" t="s">
        <v>158</v>
      </c>
      <c r="J37" s="12">
        <v>3.2</v>
      </c>
      <c r="K37" s="12">
        <v>-523.755</v>
      </c>
      <c r="L37" s="12">
        <v>112.38800000000001</v>
      </c>
      <c r="M37" s="5" t="s">
        <v>159</v>
      </c>
      <c r="N37" s="13"/>
    </row>
    <row r="38" spans="1:14" ht="12" customHeight="1">
      <c r="B38" s="22" t="s">
        <v>135</v>
      </c>
      <c r="C38" s="13" t="s">
        <v>160</v>
      </c>
      <c r="D38" s="13" t="s">
        <v>161</v>
      </c>
      <c r="E38" s="13" t="s">
        <v>619</v>
      </c>
      <c r="F38" s="6"/>
      <c r="G38" s="13"/>
      <c r="H38" s="5" t="s">
        <v>162</v>
      </c>
      <c r="I38" s="13" t="s">
        <v>163</v>
      </c>
      <c r="J38" s="12">
        <v>418.41399999999999</v>
      </c>
      <c r="K38" s="12">
        <v>67.590999999999994</v>
      </c>
      <c r="L38" s="12">
        <v>91.078000000000003</v>
      </c>
      <c r="M38" s="13" t="s">
        <v>164</v>
      </c>
      <c r="N38" s="13"/>
    </row>
    <row r="39" spans="1:14" ht="12" customHeight="1">
      <c r="B39" s="22" t="s">
        <v>135</v>
      </c>
      <c r="C39" s="13" t="s">
        <v>160</v>
      </c>
      <c r="D39" s="13" t="s">
        <v>165</v>
      </c>
      <c r="E39" s="13" t="s">
        <v>620</v>
      </c>
      <c r="F39" s="6"/>
      <c r="G39" s="13"/>
      <c r="H39" s="5" t="s">
        <v>25</v>
      </c>
      <c r="I39" s="13" t="s">
        <v>166</v>
      </c>
      <c r="J39" s="12" t="s">
        <v>42</v>
      </c>
      <c r="K39" s="12">
        <v>-91.656000000000006</v>
      </c>
      <c r="L39" s="12">
        <v>5.5119999999999996</v>
      </c>
      <c r="M39" s="13" t="s">
        <v>167</v>
      </c>
      <c r="N39" s="13"/>
    </row>
    <row r="40" spans="1:14" ht="12" customHeight="1">
      <c r="B40" s="22" t="s">
        <v>135</v>
      </c>
      <c r="C40" s="13" t="s">
        <v>160</v>
      </c>
      <c r="D40" s="13" t="s">
        <v>168</v>
      </c>
      <c r="E40" s="13" t="s">
        <v>621</v>
      </c>
      <c r="F40" s="6"/>
      <c r="G40" s="13"/>
      <c r="H40" s="5" t="s">
        <v>169</v>
      </c>
      <c r="I40" s="13" t="s">
        <v>170</v>
      </c>
      <c r="J40" s="12">
        <v>654.48900000000003</v>
      </c>
      <c r="K40" s="12">
        <v>26.396000000000001</v>
      </c>
      <c r="L40" s="12">
        <v>514.93200000000002</v>
      </c>
      <c r="M40" s="13" t="s">
        <v>171</v>
      </c>
      <c r="N40" s="13"/>
    </row>
    <row r="41" spans="1:14" ht="12" customHeight="1">
      <c r="B41" s="22" t="s">
        <v>135</v>
      </c>
      <c r="C41" s="14">
        <v>46266</v>
      </c>
      <c r="D41" s="9" t="s">
        <v>172</v>
      </c>
      <c r="E41" s="9" t="s">
        <v>173</v>
      </c>
      <c r="F41" s="11" t="s">
        <v>17</v>
      </c>
      <c r="G41" s="9" t="s">
        <v>174</v>
      </c>
      <c r="H41" s="5" t="s">
        <v>25</v>
      </c>
      <c r="I41" s="13" t="s">
        <v>175</v>
      </c>
      <c r="J41" s="12">
        <v>1295.9549999999999</v>
      </c>
      <c r="K41" s="12">
        <v>-506.22300000000001</v>
      </c>
      <c r="L41" s="12">
        <v>125.92700000000001</v>
      </c>
      <c r="M41" s="13" t="s">
        <v>176</v>
      </c>
      <c r="N41" s="13"/>
    </row>
    <row r="42" spans="1:14" ht="12" customHeight="1">
      <c r="B42" s="22" t="s">
        <v>135</v>
      </c>
      <c r="C42" s="14">
        <v>46235</v>
      </c>
      <c r="D42" s="13" t="s">
        <v>127</v>
      </c>
      <c r="E42" s="13" t="s">
        <v>614</v>
      </c>
      <c r="F42" s="6"/>
      <c r="G42" s="13"/>
      <c r="H42" s="13" t="s">
        <v>78</v>
      </c>
      <c r="I42" s="5" t="s">
        <v>54</v>
      </c>
      <c r="J42" s="12">
        <v>1692.2280000000001</v>
      </c>
      <c r="K42" s="12">
        <v>149.274</v>
      </c>
      <c r="L42" s="12">
        <v>122.98099999999999</v>
      </c>
      <c r="M42" s="13" t="s">
        <v>129</v>
      </c>
      <c r="N42" s="13"/>
    </row>
    <row r="43" spans="1:14" ht="12" customHeight="1">
      <c r="A43" s="27"/>
      <c r="B43" s="22" t="s">
        <v>135</v>
      </c>
      <c r="C43" s="14">
        <v>46174</v>
      </c>
      <c r="D43" s="13" t="s">
        <v>131</v>
      </c>
      <c r="E43" s="13" t="s">
        <v>615</v>
      </c>
      <c r="F43" s="6"/>
      <c r="G43" s="13"/>
      <c r="H43" s="5" t="s">
        <v>25</v>
      </c>
      <c r="I43" s="13" t="s">
        <v>133</v>
      </c>
      <c r="J43" s="12">
        <v>1623.077</v>
      </c>
      <c r="K43" s="12">
        <v>91.295000000000002</v>
      </c>
      <c r="L43" s="12">
        <v>1102.22</v>
      </c>
      <c r="M43" s="13" t="s">
        <v>134</v>
      </c>
      <c r="N43" s="13"/>
    </row>
    <row r="44" spans="1:14" ht="12" customHeight="1">
      <c r="A44" s="5"/>
      <c r="B44" s="22" t="s">
        <v>135</v>
      </c>
      <c r="C44" s="14">
        <v>46174</v>
      </c>
      <c r="D44" s="13" t="s">
        <v>177</v>
      </c>
      <c r="E44" s="13" t="s">
        <v>622</v>
      </c>
      <c r="F44" s="6"/>
      <c r="G44" s="13"/>
      <c r="H44" s="5" t="s">
        <v>19</v>
      </c>
      <c r="I44" s="13" t="s">
        <v>26</v>
      </c>
      <c r="J44" s="12">
        <v>70.352000000000004</v>
      </c>
      <c r="K44" s="12">
        <v>-43.375</v>
      </c>
      <c r="L44" s="12">
        <v>17.103999999999999</v>
      </c>
      <c r="M44" s="13" t="s">
        <v>178</v>
      </c>
      <c r="N44" s="13"/>
    </row>
    <row r="45" spans="1:14" ht="12" customHeight="1">
      <c r="A45" s="5"/>
      <c r="B45" s="22" t="s">
        <v>135</v>
      </c>
      <c r="C45" s="14">
        <v>46023</v>
      </c>
      <c r="D45" s="13" t="s">
        <v>179</v>
      </c>
      <c r="E45" s="13" t="s">
        <v>623</v>
      </c>
      <c r="F45" s="6"/>
      <c r="G45" s="13"/>
      <c r="H45" s="13" t="s">
        <v>180</v>
      </c>
      <c r="I45" s="13" t="s">
        <v>181</v>
      </c>
      <c r="J45" s="12">
        <v>271.06400000000002</v>
      </c>
      <c r="K45" s="12">
        <v>29.719000000000001</v>
      </c>
      <c r="L45" s="12">
        <v>35.121000000000002</v>
      </c>
      <c r="M45" s="13" t="s">
        <v>182</v>
      </c>
      <c r="N45" s="13"/>
    </row>
    <row r="46" spans="1:14" ht="12" customHeight="1">
      <c r="A46" s="5"/>
      <c r="B46" s="22" t="s">
        <v>183</v>
      </c>
      <c r="C46" s="13" t="s">
        <v>184</v>
      </c>
      <c r="D46" s="13" t="s">
        <v>185</v>
      </c>
      <c r="E46" s="13" t="s">
        <v>624</v>
      </c>
      <c r="F46" s="6"/>
      <c r="G46" s="13"/>
      <c r="H46" s="5" t="s">
        <v>25</v>
      </c>
      <c r="I46" s="13" t="s">
        <v>186</v>
      </c>
      <c r="J46" s="12" t="s">
        <v>42</v>
      </c>
      <c r="K46" s="12">
        <v>-242.74299999999999</v>
      </c>
      <c r="L46" s="12">
        <v>68.585999999999999</v>
      </c>
      <c r="M46" s="13" t="s">
        <v>187</v>
      </c>
      <c r="N46" s="13"/>
    </row>
    <row r="47" spans="1:14" ht="12" customHeight="1">
      <c r="A47" s="5"/>
      <c r="B47" s="22" t="s">
        <v>183</v>
      </c>
      <c r="C47" s="13" t="s">
        <v>188</v>
      </c>
      <c r="D47" s="13" t="s">
        <v>189</v>
      </c>
      <c r="E47" s="13" t="s">
        <v>625</v>
      </c>
      <c r="F47" s="6"/>
      <c r="G47" s="13"/>
      <c r="H47" s="5" t="s">
        <v>25</v>
      </c>
      <c r="I47" s="13" t="s">
        <v>54</v>
      </c>
      <c r="J47" s="12">
        <v>3767.4009999999998</v>
      </c>
      <c r="K47" s="12">
        <v>121.247</v>
      </c>
      <c r="L47" s="12">
        <v>1237.819</v>
      </c>
      <c r="M47" s="13" t="s">
        <v>190</v>
      </c>
      <c r="N47" s="13"/>
    </row>
    <row r="48" spans="1:14" ht="12" customHeight="1">
      <c r="A48" s="5"/>
      <c r="B48" s="22" t="s">
        <v>183</v>
      </c>
      <c r="C48" s="13" t="s">
        <v>191</v>
      </c>
      <c r="D48" s="13" t="s">
        <v>192</v>
      </c>
      <c r="E48" s="13" t="s">
        <v>626</v>
      </c>
      <c r="F48" s="6"/>
      <c r="G48" s="13"/>
      <c r="H48" s="5" t="s">
        <v>25</v>
      </c>
      <c r="I48" s="13" t="s">
        <v>193</v>
      </c>
      <c r="J48" s="12">
        <v>49.026000000000003</v>
      </c>
      <c r="K48" s="12">
        <v>-147.084</v>
      </c>
      <c r="L48" s="12">
        <v>68.361000000000004</v>
      </c>
      <c r="M48" s="13" t="s">
        <v>194</v>
      </c>
      <c r="N48" s="13"/>
    </row>
    <row r="49" spans="1:14" ht="12" customHeight="1">
      <c r="A49" s="5"/>
      <c r="B49" s="22" t="s">
        <v>183</v>
      </c>
      <c r="C49" s="14">
        <v>45942</v>
      </c>
      <c r="D49" s="13" t="s">
        <v>195</v>
      </c>
      <c r="E49" s="13" t="s">
        <v>627</v>
      </c>
      <c r="F49" s="6"/>
      <c r="G49" s="13"/>
      <c r="H49" s="5" t="s">
        <v>25</v>
      </c>
      <c r="I49" s="13" t="s">
        <v>54</v>
      </c>
      <c r="J49" s="12">
        <v>1980.7529999999999</v>
      </c>
      <c r="K49" s="12">
        <v>-303.71300000000002</v>
      </c>
      <c r="L49" s="12">
        <v>858.98299999999995</v>
      </c>
      <c r="M49" s="13" t="s">
        <v>196</v>
      </c>
      <c r="N49" s="13"/>
    </row>
    <row r="50" spans="1:14" ht="12" customHeight="1">
      <c r="A50" s="13"/>
      <c r="B50" s="22" t="s">
        <v>183</v>
      </c>
      <c r="C50" s="14" t="s">
        <v>197</v>
      </c>
      <c r="D50" s="13" t="s">
        <v>198</v>
      </c>
      <c r="E50" s="13" t="s">
        <v>155</v>
      </c>
      <c r="F50" s="6"/>
      <c r="G50" s="13"/>
      <c r="H50" s="5" t="s">
        <v>25</v>
      </c>
      <c r="I50" s="13" t="s">
        <v>199</v>
      </c>
      <c r="J50" s="12" t="s">
        <v>42</v>
      </c>
      <c r="K50" s="12">
        <v>-26.463999999999999</v>
      </c>
      <c r="L50" s="12">
        <v>12.807</v>
      </c>
      <c r="M50" s="13" t="s">
        <v>200</v>
      </c>
      <c r="N50" s="13"/>
    </row>
    <row r="51" spans="1:14" ht="12" customHeight="1">
      <c r="A51" s="5"/>
      <c r="B51" s="22" t="s">
        <v>183</v>
      </c>
      <c r="C51" s="13" t="s">
        <v>201</v>
      </c>
      <c r="D51" s="9" t="s">
        <v>202</v>
      </c>
      <c r="E51" s="9" t="s">
        <v>203</v>
      </c>
      <c r="F51" s="11" t="s">
        <v>17</v>
      </c>
      <c r="G51" s="9" t="s">
        <v>204</v>
      </c>
      <c r="H51" s="5" t="s">
        <v>19</v>
      </c>
      <c r="I51" s="13" t="s">
        <v>205</v>
      </c>
      <c r="J51" s="12">
        <v>557.13199999999995</v>
      </c>
      <c r="K51" s="12">
        <v>-424.34</v>
      </c>
      <c r="L51" s="12">
        <v>263.83</v>
      </c>
      <c r="M51" s="13" t="s">
        <v>206</v>
      </c>
      <c r="N51" s="13"/>
    </row>
    <row r="52" spans="1:14" ht="12" customHeight="1">
      <c r="B52" s="22" t="s">
        <v>183</v>
      </c>
      <c r="C52" s="13" t="s">
        <v>207</v>
      </c>
      <c r="D52" s="9" t="s">
        <v>208</v>
      </c>
      <c r="E52" s="9" t="s">
        <v>209</v>
      </c>
      <c r="F52" s="11" t="s">
        <v>17</v>
      </c>
      <c r="G52" s="9" t="s">
        <v>210</v>
      </c>
      <c r="H52" s="5" t="s">
        <v>25</v>
      </c>
      <c r="I52" s="13" t="s">
        <v>70</v>
      </c>
      <c r="J52" s="12">
        <v>531.529</v>
      </c>
      <c r="K52" s="12">
        <v>-150.29900000000001</v>
      </c>
      <c r="L52" s="12">
        <v>217.26499999999999</v>
      </c>
      <c r="M52" s="13" t="s">
        <v>211</v>
      </c>
      <c r="N52" s="13"/>
    </row>
    <row r="53" spans="1:14" ht="12" customHeight="1">
      <c r="B53" s="22" t="s">
        <v>183</v>
      </c>
      <c r="C53" s="14" t="s">
        <v>212</v>
      </c>
      <c r="D53" s="13" t="s">
        <v>213</v>
      </c>
      <c r="E53" s="13" t="s">
        <v>628</v>
      </c>
      <c r="F53" s="6"/>
      <c r="G53" s="13"/>
      <c r="H53" s="13" t="s">
        <v>78</v>
      </c>
      <c r="I53" s="13" t="s">
        <v>70</v>
      </c>
      <c r="J53" s="12">
        <f>281.7*7</f>
        <v>1971.8999999999999</v>
      </c>
      <c r="K53" s="12">
        <f>21.85*7</f>
        <v>152.95000000000002</v>
      </c>
      <c r="L53" s="12">
        <f>16.09*7</f>
        <v>112.63</v>
      </c>
      <c r="M53" s="13" t="s">
        <v>214</v>
      </c>
      <c r="N53" s="13"/>
    </row>
    <row r="54" spans="1:14" ht="12" customHeight="1">
      <c r="B54" s="22" t="s">
        <v>183</v>
      </c>
      <c r="C54" s="14" t="s">
        <v>212</v>
      </c>
      <c r="D54" s="9" t="s">
        <v>215</v>
      </c>
      <c r="E54" s="9" t="s">
        <v>216</v>
      </c>
      <c r="F54" s="11" t="s">
        <v>35</v>
      </c>
      <c r="G54" s="9" t="s">
        <v>217</v>
      </c>
      <c r="H54" s="5" t="s">
        <v>25</v>
      </c>
      <c r="I54" s="13" t="s">
        <v>218</v>
      </c>
      <c r="J54" s="12">
        <v>458.86500000000001</v>
      </c>
      <c r="K54" s="12">
        <v>47.686999999999998</v>
      </c>
      <c r="L54" s="12">
        <v>385.91199999999998</v>
      </c>
      <c r="M54" s="13" t="s">
        <v>219</v>
      </c>
      <c r="N54" s="13"/>
    </row>
    <row r="55" spans="1:14" ht="12" customHeight="1">
      <c r="B55" s="22" t="s">
        <v>183</v>
      </c>
      <c r="C55" s="14" t="s">
        <v>220</v>
      </c>
      <c r="D55" s="13" t="s">
        <v>221</v>
      </c>
      <c r="E55" s="13" t="s">
        <v>629</v>
      </c>
      <c r="F55" s="6"/>
      <c r="G55" s="13"/>
      <c r="H55" s="5" t="s">
        <v>19</v>
      </c>
      <c r="I55" s="13" t="s">
        <v>222</v>
      </c>
      <c r="J55" s="12">
        <v>1044.79</v>
      </c>
      <c r="K55" s="12">
        <v>135.459</v>
      </c>
      <c r="L55" s="12">
        <v>88.521000000000001</v>
      </c>
      <c r="M55" s="13" t="s">
        <v>223</v>
      </c>
      <c r="N55" s="13"/>
    </row>
    <row r="56" spans="1:14" ht="12" customHeight="1">
      <c r="B56" s="22" t="s">
        <v>183</v>
      </c>
      <c r="C56" s="14">
        <v>45942</v>
      </c>
      <c r="D56" s="13" t="s">
        <v>224</v>
      </c>
      <c r="E56" s="13" t="s">
        <v>630</v>
      </c>
      <c r="F56" s="6"/>
      <c r="G56" s="13"/>
      <c r="H56" s="5" t="s">
        <v>25</v>
      </c>
      <c r="I56" s="13" t="s">
        <v>54</v>
      </c>
      <c r="J56" s="12" t="s">
        <v>42</v>
      </c>
      <c r="K56" s="12">
        <v>-163.65199999999999</v>
      </c>
      <c r="L56" s="12">
        <v>72.426000000000002</v>
      </c>
      <c r="M56" s="13" t="s">
        <v>225</v>
      </c>
      <c r="N56" s="13"/>
    </row>
    <row r="57" spans="1:14" ht="12" customHeight="1">
      <c r="B57" s="22" t="s">
        <v>226</v>
      </c>
      <c r="C57" s="14" t="s">
        <v>227</v>
      </c>
      <c r="D57" s="9" t="s">
        <v>228</v>
      </c>
      <c r="E57" s="9" t="s">
        <v>229</v>
      </c>
      <c r="F57" s="11" t="s">
        <v>17</v>
      </c>
      <c r="G57" s="9" t="s">
        <v>230</v>
      </c>
      <c r="H57" s="13" t="s">
        <v>231</v>
      </c>
      <c r="I57" s="13" t="s">
        <v>54</v>
      </c>
      <c r="J57" s="12">
        <v>586.1</v>
      </c>
      <c r="K57" s="12">
        <v>15.718999999999999</v>
      </c>
      <c r="L57" s="12">
        <v>217.77699999999999</v>
      </c>
      <c r="M57" s="13" t="s">
        <v>232</v>
      </c>
      <c r="N57" s="13"/>
    </row>
    <row r="58" spans="1:14" ht="12" customHeight="1">
      <c r="B58" s="22" t="s">
        <v>226</v>
      </c>
      <c r="C58" s="14">
        <v>45759</v>
      </c>
      <c r="D58" s="13" t="s">
        <v>233</v>
      </c>
      <c r="E58" s="13" t="s">
        <v>631</v>
      </c>
      <c r="F58" s="6"/>
      <c r="G58" s="13"/>
      <c r="H58" s="5" t="s">
        <v>25</v>
      </c>
      <c r="I58" s="13" t="s">
        <v>234</v>
      </c>
      <c r="J58" s="12" t="s">
        <v>42</v>
      </c>
      <c r="K58" s="12">
        <v>-226.37100000000001</v>
      </c>
      <c r="L58" s="12">
        <v>170.18299999999999</v>
      </c>
      <c r="M58" s="13" t="s">
        <v>235</v>
      </c>
      <c r="N58" s="13"/>
    </row>
    <row r="59" spans="1:14" ht="12" customHeight="1">
      <c r="B59" s="22" t="s">
        <v>226</v>
      </c>
      <c r="C59" s="14">
        <v>45700</v>
      </c>
      <c r="D59" s="13" t="s">
        <v>236</v>
      </c>
      <c r="E59" s="13" t="s">
        <v>632</v>
      </c>
      <c r="F59" s="6"/>
      <c r="G59" s="13"/>
      <c r="H59" s="13" t="s">
        <v>180</v>
      </c>
      <c r="I59" s="13" t="s">
        <v>20</v>
      </c>
      <c r="J59" s="12">
        <v>243.44300000000001</v>
      </c>
      <c r="K59" s="12">
        <v>49.296999999999997</v>
      </c>
      <c r="L59" s="12">
        <v>75.753</v>
      </c>
      <c r="M59" s="13" t="s">
        <v>237</v>
      </c>
      <c r="N59" s="13"/>
    </row>
    <row r="60" spans="1:14" ht="12" customHeight="1">
      <c r="B60" s="22" t="s">
        <v>226</v>
      </c>
      <c r="C60" s="14">
        <v>45669</v>
      </c>
      <c r="D60" s="13" t="s">
        <v>238</v>
      </c>
      <c r="E60" s="13" t="s">
        <v>633</v>
      </c>
      <c r="F60" s="6"/>
      <c r="G60" s="13"/>
      <c r="H60" s="5" t="s">
        <v>25</v>
      </c>
      <c r="I60" s="13" t="s">
        <v>239</v>
      </c>
      <c r="J60" s="12" t="s">
        <v>42</v>
      </c>
      <c r="K60" s="12">
        <v>-123.393</v>
      </c>
      <c r="L60" s="12">
        <v>149.797</v>
      </c>
      <c r="M60" s="13" t="s">
        <v>240</v>
      </c>
      <c r="N60" s="13"/>
    </row>
    <row r="61" spans="1:14" ht="12" customHeight="1">
      <c r="B61" s="22" t="s">
        <v>226</v>
      </c>
      <c r="C61" s="13" t="s">
        <v>241</v>
      </c>
      <c r="D61" s="13" t="s">
        <v>242</v>
      </c>
      <c r="E61" s="13" t="s">
        <v>634</v>
      </c>
      <c r="F61" s="6"/>
      <c r="G61" s="13"/>
      <c r="H61" s="5" t="s">
        <v>25</v>
      </c>
      <c r="I61" s="13" t="s">
        <v>243</v>
      </c>
      <c r="J61" s="12" t="s">
        <v>42</v>
      </c>
      <c r="K61" s="12">
        <v>-312.26</v>
      </c>
      <c r="L61" s="12">
        <v>164.01400000000001</v>
      </c>
      <c r="M61" s="13" t="s">
        <v>244</v>
      </c>
      <c r="N61" s="13"/>
    </row>
    <row r="62" spans="1:14" ht="12" customHeight="1">
      <c r="B62" s="22" t="s">
        <v>226</v>
      </c>
      <c r="C62" s="14">
        <v>46002</v>
      </c>
      <c r="D62" s="13" t="s">
        <v>245</v>
      </c>
      <c r="E62" s="13" t="s">
        <v>635</v>
      </c>
      <c r="F62" s="6"/>
      <c r="G62" s="13"/>
      <c r="H62" s="5" t="s">
        <v>25</v>
      </c>
      <c r="I62" s="15" t="s">
        <v>26</v>
      </c>
      <c r="J62" s="12" t="s">
        <v>42</v>
      </c>
      <c r="K62" s="12">
        <v>-59.899000000000001</v>
      </c>
      <c r="L62" s="12">
        <v>23.907</v>
      </c>
      <c r="M62" s="13" t="s">
        <v>246</v>
      </c>
      <c r="N62" s="13"/>
    </row>
    <row r="63" spans="1:14" ht="12" customHeight="1">
      <c r="B63" s="22" t="s">
        <v>226</v>
      </c>
      <c r="C63" s="13" t="s">
        <v>247</v>
      </c>
      <c r="D63" s="5" t="s">
        <v>248</v>
      </c>
      <c r="E63" s="5" t="s">
        <v>636</v>
      </c>
      <c r="H63" s="5" t="s">
        <v>25</v>
      </c>
      <c r="I63" s="5" t="s">
        <v>249</v>
      </c>
      <c r="J63" s="12">
        <v>106.6</v>
      </c>
      <c r="K63" s="12">
        <v>-88</v>
      </c>
      <c r="L63" s="12">
        <v>32.799999999999997</v>
      </c>
      <c r="M63" s="5" t="s">
        <v>250</v>
      </c>
      <c r="N63" s="13"/>
    </row>
    <row r="64" spans="1:14" ht="12" customHeight="1">
      <c r="B64" s="22" t="s">
        <v>226</v>
      </c>
      <c r="C64" s="13" t="s">
        <v>247</v>
      </c>
      <c r="D64" s="13" t="s">
        <v>251</v>
      </c>
      <c r="E64" s="13" t="s">
        <v>637</v>
      </c>
      <c r="F64" s="6"/>
      <c r="G64" s="13"/>
      <c r="H64" s="5" t="s">
        <v>25</v>
      </c>
      <c r="I64" s="13" t="s">
        <v>252</v>
      </c>
      <c r="J64" s="12" t="s">
        <v>42</v>
      </c>
      <c r="K64" s="12">
        <v>-282.63099999999997</v>
      </c>
      <c r="L64" s="12">
        <v>29.712</v>
      </c>
      <c r="M64" s="13" t="s">
        <v>253</v>
      </c>
      <c r="N64" s="13"/>
    </row>
    <row r="65" spans="2:14" ht="12" customHeight="1">
      <c r="B65" s="22" t="s">
        <v>226</v>
      </c>
      <c r="C65" s="14">
        <v>45819</v>
      </c>
      <c r="D65" s="13" t="s">
        <v>254</v>
      </c>
      <c r="E65" s="13" t="s">
        <v>638</v>
      </c>
      <c r="F65" s="6"/>
      <c r="G65" s="13"/>
      <c r="H65" s="13" t="s">
        <v>25</v>
      </c>
      <c r="I65" s="13" t="s">
        <v>222</v>
      </c>
      <c r="J65" s="12">
        <v>1406.925</v>
      </c>
      <c r="K65" s="12">
        <v>27.047999999999998</v>
      </c>
      <c r="L65" s="12">
        <v>552.952</v>
      </c>
      <c r="M65" s="13" t="s">
        <v>255</v>
      </c>
      <c r="N65" s="13"/>
    </row>
    <row r="66" spans="2:14" ht="12" customHeight="1">
      <c r="B66" s="22" t="s">
        <v>226</v>
      </c>
      <c r="C66" s="13" t="s">
        <v>256</v>
      </c>
      <c r="D66" s="9" t="s">
        <v>257</v>
      </c>
      <c r="E66" s="9" t="s">
        <v>258</v>
      </c>
      <c r="F66" s="11" t="s">
        <v>17</v>
      </c>
      <c r="G66" s="9" t="s">
        <v>259</v>
      </c>
      <c r="H66" s="13" t="s">
        <v>25</v>
      </c>
      <c r="I66" s="13" t="s">
        <v>260</v>
      </c>
      <c r="J66" s="12">
        <v>6.5250000000000004</v>
      </c>
      <c r="K66" s="12">
        <v>-335.13</v>
      </c>
      <c r="L66" s="12">
        <v>343.77</v>
      </c>
      <c r="M66" s="13" t="s">
        <v>261</v>
      </c>
      <c r="N66" s="13"/>
    </row>
    <row r="67" spans="2:14" ht="12" customHeight="1">
      <c r="B67" s="22" t="s">
        <v>226</v>
      </c>
      <c r="C67" s="13" t="s">
        <v>262</v>
      </c>
      <c r="D67" s="13" t="s">
        <v>263</v>
      </c>
      <c r="E67" s="13" t="s">
        <v>639</v>
      </c>
      <c r="F67" s="6"/>
      <c r="G67" s="13"/>
      <c r="H67" s="13" t="s">
        <v>25</v>
      </c>
      <c r="I67" s="15" t="s">
        <v>26</v>
      </c>
      <c r="J67" s="12">
        <v>1254.8679999999999</v>
      </c>
      <c r="K67" s="12">
        <v>141.26300000000001</v>
      </c>
      <c r="L67" s="12">
        <v>754.10199999999998</v>
      </c>
      <c r="M67" s="13" t="s">
        <v>264</v>
      </c>
      <c r="N67" s="13"/>
    </row>
    <row r="68" spans="2:14" ht="12" customHeight="1">
      <c r="B68" s="22" t="s">
        <v>226</v>
      </c>
      <c r="C68" s="14">
        <v>45941</v>
      </c>
      <c r="D68" s="13" t="s">
        <v>265</v>
      </c>
      <c r="E68" s="13" t="s">
        <v>640</v>
      </c>
      <c r="F68" s="6"/>
      <c r="G68" s="13"/>
      <c r="H68" s="13" t="s">
        <v>19</v>
      </c>
      <c r="I68" s="15" t="s">
        <v>133</v>
      </c>
      <c r="J68" s="12">
        <v>36725.75</v>
      </c>
      <c r="K68" s="12">
        <v>11739.966</v>
      </c>
      <c r="L68" s="12">
        <v>14907.726000000001</v>
      </c>
      <c r="M68" s="13" t="s">
        <v>266</v>
      </c>
      <c r="N68" s="13"/>
    </row>
    <row r="69" spans="2:14" ht="12" customHeight="1">
      <c r="B69" s="22" t="s">
        <v>226</v>
      </c>
      <c r="C69" s="14">
        <v>45911</v>
      </c>
      <c r="D69" s="13" t="s">
        <v>267</v>
      </c>
      <c r="E69" s="13" t="s">
        <v>641</v>
      </c>
      <c r="F69" s="6"/>
      <c r="G69" s="13"/>
      <c r="H69" s="13" t="s">
        <v>25</v>
      </c>
      <c r="I69" s="13" t="s">
        <v>70</v>
      </c>
      <c r="J69" s="12">
        <v>237.86799999999999</v>
      </c>
      <c r="K69" s="12">
        <v>-40.042000000000002</v>
      </c>
      <c r="L69" s="12">
        <v>138.465</v>
      </c>
      <c r="M69" s="13" t="s">
        <v>268</v>
      </c>
      <c r="N69" s="13"/>
    </row>
    <row r="70" spans="2:14" ht="12" customHeight="1">
      <c r="B70" s="22" t="s">
        <v>226</v>
      </c>
      <c r="C70" s="14">
        <v>45849</v>
      </c>
      <c r="D70" s="13" t="s">
        <v>269</v>
      </c>
      <c r="E70" s="13" t="s">
        <v>642</v>
      </c>
      <c r="F70" s="6"/>
      <c r="G70" s="13"/>
      <c r="H70" s="13" t="s">
        <v>270</v>
      </c>
      <c r="I70" s="13" t="s">
        <v>70</v>
      </c>
      <c r="J70" s="12">
        <v>424.58800000000002</v>
      </c>
      <c r="K70" s="12">
        <v>53.295000000000002</v>
      </c>
      <c r="L70" s="12">
        <v>113.508</v>
      </c>
      <c r="M70" s="13" t="s">
        <v>271</v>
      </c>
      <c r="N70" s="13"/>
    </row>
    <row r="71" spans="2:14" ht="12" customHeight="1">
      <c r="B71" s="22" t="s">
        <v>226</v>
      </c>
      <c r="C71" s="14">
        <v>45849</v>
      </c>
      <c r="D71" s="9" t="s">
        <v>272</v>
      </c>
      <c r="E71" s="9" t="s">
        <v>273</v>
      </c>
      <c r="F71" s="11" t="s">
        <v>35</v>
      </c>
      <c r="G71" s="9" t="s">
        <v>274</v>
      </c>
      <c r="H71" s="13" t="s">
        <v>25</v>
      </c>
      <c r="I71" s="15" t="s">
        <v>26</v>
      </c>
      <c r="J71" s="12">
        <v>901.83799999999997</v>
      </c>
      <c r="K71" s="12">
        <v>8.5730000000000004</v>
      </c>
      <c r="L71" s="12">
        <v>288.31900000000002</v>
      </c>
      <c r="M71" s="13" t="s">
        <v>275</v>
      </c>
      <c r="N71" s="13"/>
    </row>
    <row r="72" spans="2:14" ht="12" customHeight="1">
      <c r="B72" s="22" t="s">
        <v>276</v>
      </c>
      <c r="C72" s="13" t="s">
        <v>256</v>
      </c>
      <c r="D72" s="9" t="s">
        <v>277</v>
      </c>
      <c r="E72" s="9" t="s">
        <v>278</v>
      </c>
      <c r="F72" s="11" t="s">
        <v>35</v>
      </c>
      <c r="G72" s="9" t="s">
        <v>279</v>
      </c>
      <c r="H72" s="13" t="s">
        <v>25</v>
      </c>
      <c r="I72" s="13" t="s">
        <v>54</v>
      </c>
      <c r="J72" s="12" t="s">
        <v>42</v>
      </c>
      <c r="K72" s="12">
        <v>-3.3849999999999998</v>
      </c>
      <c r="L72" s="12">
        <v>105.833</v>
      </c>
      <c r="M72" s="13" t="s">
        <v>280</v>
      </c>
      <c r="N72" s="13"/>
    </row>
    <row r="73" spans="2:14" ht="12" customHeight="1">
      <c r="B73" s="22" t="s">
        <v>276</v>
      </c>
      <c r="C73" s="13" t="s">
        <v>256</v>
      </c>
      <c r="D73" s="13" t="s">
        <v>281</v>
      </c>
      <c r="E73" s="13" t="s">
        <v>643</v>
      </c>
      <c r="F73" s="6"/>
      <c r="G73" s="13"/>
      <c r="H73" s="13" t="s">
        <v>25</v>
      </c>
      <c r="I73" s="13" t="s">
        <v>282</v>
      </c>
      <c r="J73" s="12" t="s">
        <v>42</v>
      </c>
      <c r="K73" s="12">
        <v>-22.23</v>
      </c>
      <c r="L73" s="12">
        <v>68.263000000000005</v>
      </c>
      <c r="M73" s="13" t="s">
        <v>283</v>
      </c>
      <c r="N73" s="13"/>
    </row>
    <row r="74" spans="2:14" ht="12" customHeight="1">
      <c r="B74" s="22" t="s">
        <v>276</v>
      </c>
      <c r="C74" s="13" t="s">
        <v>256</v>
      </c>
      <c r="D74" s="9" t="s">
        <v>284</v>
      </c>
      <c r="E74" s="9" t="s">
        <v>285</v>
      </c>
      <c r="F74" s="11" t="s">
        <v>17</v>
      </c>
      <c r="G74" s="9" t="s">
        <v>286</v>
      </c>
      <c r="H74" s="13" t="s">
        <v>270</v>
      </c>
      <c r="I74" s="13" t="s">
        <v>287</v>
      </c>
      <c r="J74" s="12">
        <v>712.601</v>
      </c>
      <c r="K74" s="12">
        <v>-251.988</v>
      </c>
      <c r="L74" s="12">
        <v>369.25200000000001</v>
      </c>
      <c r="M74" s="13" t="s">
        <v>288</v>
      </c>
      <c r="N74" s="13"/>
    </row>
    <row r="75" spans="2:14" ht="12" customHeight="1">
      <c r="B75" s="22" t="s">
        <v>276</v>
      </c>
      <c r="C75" s="4" t="s">
        <v>289</v>
      </c>
      <c r="D75" s="9" t="s">
        <v>290</v>
      </c>
      <c r="E75" s="10" t="s">
        <v>291</v>
      </c>
      <c r="F75" s="11" t="s">
        <v>35</v>
      </c>
      <c r="G75" s="9" t="s">
        <v>292</v>
      </c>
      <c r="H75" s="13" t="s">
        <v>25</v>
      </c>
      <c r="I75" s="15" t="s">
        <v>26</v>
      </c>
      <c r="J75" s="12">
        <v>617.53</v>
      </c>
      <c r="K75" s="12">
        <v>-105.6</v>
      </c>
      <c r="L75" s="12">
        <v>281.86</v>
      </c>
      <c r="M75" s="5" t="s">
        <v>293</v>
      </c>
      <c r="N75" s="16" t="s">
        <v>294</v>
      </c>
    </row>
    <row r="76" spans="2:14" ht="12" customHeight="1">
      <c r="B76" s="22" t="s">
        <v>276</v>
      </c>
      <c r="C76" s="13" t="s">
        <v>295</v>
      </c>
      <c r="D76" s="5" t="s">
        <v>296</v>
      </c>
      <c r="E76" s="5" t="s">
        <v>644</v>
      </c>
      <c r="H76" s="5" t="s">
        <v>25</v>
      </c>
      <c r="I76" s="5" t="s">
        <v>234</v>
      </c>
      <c r="J76" s="12">
        <v>220.8</v>
      </c>
      <c r="K76" s="12">
        <v>75.099999999999994</v>
      </c>
      <c r="L76" s="12">
        <v>52.8</v>
      </c>
      <c r="M76" s="5" t="s">
        <v>297</v>
      </c>
      <c r="N76" s="13"/>
    </row>
    <row r="77" spans="2:14" ht="12" customHeight="1">
      <c r="B77" s="22" t="s">
        <v>276</v>
      </c>
      <c r="C77" s="4" t="s">
        <v>298</v>
      </c>
      <c r="D77" s="5" t="s">
        <v>299</v>
      </c>
      <c r="E77" s="5" t="s">
        <v>645</v>
      </c>
      <c r="H77" s="5" t="s">
        <v>78</v>
      </c>
      <c r="I77" s="5" t="s">
        <v>300</v>
      </c>
      <c r="J77" s="12">
        <v>1249.4000000000001</v>
      </c>
      <c r="K77" s="12">
        <v>89.12</v>
      </c>
      <c r="L77" s="12">
        <v>144.31</v>
      </c>
      <c r="M77" s="5" t="s">
        <v>301</v>
      </c>
      <c r="N77" s="13"/>
    </row>
    <row r="78" spans="2:14" ht="12" customHeight="1">
      <c r="B78" s="22" t="s">
        <v>302</v>
      </c>
      <c r="C78" s="13" t="s">
        <v>303</v>
      </c>
      <c r="D78" s="13" t="s">
        <v>304</v>
      </c>
      <c r="E78" s="13" t="s">
        <v>646</v>
      </c>
      <c r="F78" s="6"/>
      <c r="G78" s="13"/>
      <c r="H78" s="13" t="s">
        <v>25</v>
      </c>
      <c r="I78" s="15" t="s">
        <v>26</v>
      </c>
      <c r="J78" s="12">
        <v>2177.9409999999998</v>
      </c>
      <c r="K78" s="12">
        <v>184.55799999999999</v>
      </c>
      <c r="L78" s="12">
        <v>414.959</v>
      </c>
      <c r="M78" s="13" t="s">
        <v>305</v>
      </c>
      <c r="N78" s="13"/>
    </row>
    <row r="79" spans="2:14" ht="12" customHeight="1">
      <c r="B79" s="22" t="s">
        <v>302</v>
      </c>
      <c r="C79" s="13" t="s">
        <v>303</v>
      </c>
      <c r="D79" s="13" t="s">
        <v>306</v>
      </c>
      <c r="E79" s="13" t="s">
        <v>647</v>
      </c>
      <c r="F79" s="6"/>
      <c r="G79" s="13"/>
      <c r="H79" s="13" t="s">
        <v>25</v>
      </c>
      <c r="I79" s="15" t="s">
        <v>307</v>
      </c>
      <c r="J79" s="12">
        <v>1.7250000000000001</v>
      </c>
      <c r="K79" s="12">
        <v>-113.146</v>
      </c>
      <c r="L79" s="12">
        <v>215.71299999999999</v>
      </c>
      <c r="M79" s="13" t="s">
        <v>308</v>
      </c>
      <c r="N79" s="13"/>
    </row>
    <row r="80" spans="2:14" ht="12" customHeight="1">
      <c r="B80" s="22" t="s">
        <v>302</v>
      </c>
      <c r="C80" s="13" t="s">
        <v>309</v>
      </c>
      <c r="D80" s="13" t="s">
        <v>310</v>
      </c>
      <c r="E80" s="13" t="s">
        <v>648</v>
      </c>
      <c r="F80" s="6"/>
      <c r="G80" s="13"/>
      <c r="H80" s="13" t="s">
        <v>25</v>
      </c>
      <c r="I80" s="13" t="s">
        <v>311</v>
      </c>
      <c r="J80" s="12">
        <v>2891.95</v>
      </c>
      <c r="K80" s="12">
        <v>386.98099999999999</v>
      </c>
      <c r="L80" s="12">
        <v>471.68299999999999</v>
      </c>
      <c r="M80" s="13" t="s">
        <v>312</v>
      </c>
      <c r="N80" s="13"/>
    </row>
    <row r="81" spans="2:14" ht="12" customHeight="1">
      <c r="B81" s="22" t="s">
        <v>302</v>
      </c>
      <c r="C81" s="13" t="s">
        <v>313</v>
      </c>
      <c r="D81" s="13" t="s">
        <v>314</v>
      </c>
      <c r="E81" s="13" t="s">
        <v>649</v>
      </c>
      <c r="F81" s="6"/>
      <c r="G81" s="13"/>
      <c r="H81" s="13" t="s">
        <v>25</v>
      </c>
      <c r="I81" s="13" t="s">
        <v>315</v>
      </c>
      <c r="J81" s="12" t="s">
        <v>42</v>
      </c>
      <c r="K81" s="12">
        <v>-341.95699999999999</v>
      </c>
      <c r="L81" s="12">
        <v>192.583</v>
      </c>
      <c r="M81" s="13" t="s">
        <v>316</v>
      </c>
      <c r="N81" s="13"/>
    </row>
    <row r="82" spans="2:14" ht="12" customHeight="1">
      <c r="B82" s="22" t="s">
        <v>302</v>
      </c>
      <c r="C82" s="13" t="s">
        <v>309</v>
      </c>
      <c r="D82" s="13" t="s">
        <v>317</v>
      </c>
      <c r="E82" s="13" t="s">
        <v>650</v>
      </c>
      <c r="F82" s="6"/>
      <c r="G82" s="13"/>
      <c r="H82" s="13" t="s">
        <v>25</v>
      </c>
      <c r="I82" s="13" t="s">
        <v>70</v>
      </c>
      <c r="J82" s="12" t="s">
        <v>42</v>
      </c>
      <c r="K82" s="12">
        <v>-119.04600000000001</v>
      </c>
      <c r="L82" s="12">
        <v>42.54</v>
      </c>
      <c r="M82" s="13" t="s">
        <v>318</v>
      </c>
      <c r="N82" s="13"/>
    </row>
    <row r="83" spans="2:14" ht="12" customHeight="1">
      <c r="B83" s="22" t="s">
        <v>302</v>
      </c>
      <c r="C83" s="14">
        <v>45879</v>
      </c>
      <c r="D83" s="9" t="s">
        <v>319</v>
      </c>
      <c r="E83" s="9" t="s">
        <v>320</v>
      </c>
      <c r="F83" s="11" t="s">
        <v>35</v>
      </c>
      <c r="G83" s="9" t="s">
        <v>321</v>
      </c>
      <c r="H83" s="13" t="s">
        <v>25</v>
      </c>
      <c r="I83" s="13" t="s">
        <v>322</v>
      </c>
      <c r="J83" s="12">
        <v>221.291</v>
      </c>
      <c r="K83" s="12">
        <v>138.84200000000001</v>
      </c>
      <c r="L83" s="12">
        <v>96.022000000000006</v>
      </c>
      <c r="M83" s="13" t="s">
        <v>323</v>
      </c>
      <c r="N83" s="13" t="s">
        <v>324</v>
      </c>
    </row>
    <row r="84" spans="2:14" ht="12" customHeight="1">
      <c r="B84" s="22" t="s">
        <v>302</v>
      </c>
      <c r="C84" s="13" t="s">
        <v>303</v>
      </c>
      <c r="D84" s="9" t="s">
        <v>325</v>
      </c>
      <c r="E84" s="9" t="s">
        <v>326</v>
      </c>
      <c r="F84" s="11" t="s">
        <v>17</v>
      </c>
      <c r="G84" s="9" t="s">
        <v>327</v>
      </c>
      <c r="H84" s="5" t="s">
        <v>138</v>
      </c>
      <c r="I84" s="13" t="s">
        <v>328</v>
      </c>
      <c r="J84" s="12">
        <v>518.08799999999997</v>
      </c>
      <c r="K84" s="12">
        <v>-125.761</v>
      </c>
      <c r="L84" s="12">
        <v>141.202</v>
      </c>
      <c r="M84" s="13" t="s">
        <v>329</v>
      </c>
      <c r="N84" s="13"/>
    </row>
    <row r="85" spans="2:14" ht="12" customHeight="1">
      <c r="B85" s="22" t="s">
        <v>302</v>
      </c>
      <c r="C85" s="13" t="s">
        <v>303</v>
      </c>
      <c r="D85" s="13" t="s">
        <v>330</v>
      </c>
      <c r="E85" s="13" t="s">
        <v>651</v>
      </c>
      <c r="F85" s="6"/>
      <c r="G85" s="13"/>
      <c r="H85" s="13" t="s">
        <v>180</v>
      </c>
      <c r="I85" s="13" t="s">
        <v>331</v>
      </c>
      <c r="J85" s="12">
        <v>3263.6590000000001</v>
      </c>
      <c r="K85" s="12">
        <v>37.805999999999997</v>
      </c>
      <c r="L85" s="12">
        <v>127.51900000000001</v>
      </c>
      <c r="M85" s="13" t="s">
        <v>332</v>
      </c>
      <c r="N85" s="13" t="s">
        <v>333</v>
      </c>
    </row>
    <row r="86" spans="2:14" ht="12" customHeight="1">
      <c r="B86" s="22" t="s">
        <v>302</v>
      </c>
      <c r="C86" s="13" t="s">
        <v>309</v>
      </c>
      <c r="D86" s="13" t="s">
        <v>334</v>
      </c>
      <c r="E86" s="13" t="s">
        <v>652</v>
      </c>
      <c r="F86" s="6"/>
      <c r="G86" s="13"/>
      <c r="H86" s="13" t="s">
        <v>25</v>
      </c>
      <c r="I86" s="13" t="s">
        <v>335</v>
      </c>
      <c r="J86" s="12" t="s">
        <v>42</v>
      </c>
      <c r="K86" s="12">
        <v>-156.83199999999999</v>
      </c>
      <c r="L86" s="12">
        <v>64.661000000000001</v>
      </c>
      <c r="M86" s="13" t="s">
        <v>336</v>
      </c>
      <c r="N86" s="13"/>
    </row>
    <row r="87" spans="2:14" ht="12" customHeight="1">
      <c r="B87" s="22" t="s">
        <v>302</v>
      </c>
      <c r="C87" s="13" t="s">
        <v>313</v>
      </c>
      <c r="D87" s="13" t="s">
        <v>337</v>
      </c>
      <c r="E87" s="13" t="s">
        <v>653</v>
      </c>
      <c r="F87" s="6"/>
      <c r="G87" s="13"/>
      <c r="H87" s="5" t="s">
        <v>138</v>
      </c>
      <c r="I87" s="13" t="s">
        <v>338</v>
      </c>
      <c r="J87" s="12">
        <v>7.2380000000000004</v>
      </c>
      <c r="K87" s="12">
        <v>-38.630000000000003</v>
      </c>
      <c r="L87" s="12">
        <v>39.091999999999999</v>
      </c>
      <c r="M87" s="13" t="s">
        <v>339</v>
      </c>
      <c r="N87" s="13"/>
    </row>
    <row r="88" spans="2:14" ht="12" customHeight="1">
      <c r="B88" s="22" t="s">
        <v>302</v>
      </c>
      <c r="C88" s="13" t="s">
        <v>340</v>
      </c>
      <c r="D88" s="9" t="s">
        <v>341</v>
      </c>
      <c r="E88" s="9" t="s">
        <v>342</v>
      </c>
      <c r="F88" s="11" t="s">
        <v>17</v>
      </c>
      <c r="G88" s="9" t="s">
        <v>343</v>
      </c>
      <c r="H88" s="13" t="s">
        <v>25</v>
      </c>
      <c r="I88" s="13" t="s">
        <v>344</v>
      </c>
      <c r="J88" s="12">
        <v>33.546999999999997</v>
      </c>
      <c r="K88" s="12">
        <v>-254.755</v>
      </c>
      <c r="L88" s="12">
        <v>230.12200000000001</v>
      </c>
      <c r="M88" s="13" t="s">
        <v>345</v>
      </c>
      <c r="N88" s="13"/>
    </row>
    <row r="89" spans="2:14" ht="12" customHeight="1">
      <c r="B89" s="22" t="s">
        <v>302</v>
      </c>
      <c r="C89" s="13" t="s">
        <v>346</v>
      </c>
      <c r="D89" s="9" t="s">
        <v>347</v>
      </c>
      <c r="E89" s="9" t="s">
        <v>348</v>
      </c>
      <c r="F89" s="11" t="s">
        <v>17</v>
      </c>
      <c r="G89" s="9" t="s">
        <v>349</v>
      </c>
      <c r="H89" s="13" t="s">
        <v>25</v>
      </c>
      <c r="I89" s="13" t="s">
        <v>175</v>
      </c>
      <c r="J89" s="12" t="s">
        <v>42</v>
      </c>
      <c r="K89" s="12">
        <v>-486</v>
      </c>
      <c r="L89" s="12">
        <v>639.77200000000005</v>
      </c>
      <c r="M89" s="13" t="s">
        <v>350</v>
      </c>
      <c r="N89" s="13"/>
    </row>
    <row r="90" spans="2:14" ht="12" customHeight="1">
      <c r="B90" s="22" t="s">
        <v>302</v>
      </c>
      <c r="C90" s="13" t="s">
        <v>351</v>
      </c>
      <c r="D90" s="13" t="s">
        <v>352</v>
      </c>
      <c r="E90" s="13" t="s">
        <v>654</v>
      </c>
      <c r="F90" s="6"/>
      <c r="G90" s="13"/>
      <c r="H90" s="13" t="s">
        <v>25</v>
      </c>
      <c r="I90" s="13" t="s">
        <v>54</v>
      </c>
      <c r="J90" s="12" t="s">
        <v>42</v>
      </c>
      <c r="K90" s="12">
        <v>-434.05900000000003</v>
      </c>
      <c r="L90" s="12">
        <v>117.60899999999999</v>
      </c>
      <c r="M90" s="13" t="s">
        <v>353</v>
      </c>
      <c r="N90" s="13"/>
    </row>
    <row r="91" spans="2:14" ht="12" customHeight="1">
      <c r="B91" s="22" t="s">
        <v>302</v>
      </c>
      <c r="C91" s="13" t="s">
        <v>351</v>
      </c>
      <c r="D91" s="13" t="s">
        <v>354</v>
      </c>
      <c r="E91" s="13" t="s">
        <v>655</v>
      </c>
      <c r="F91" s="6"/>
      <c r="G91" s="13"/>
      <c r="H91" s="13" t="s">
        <v>25</v>
      </c>
      <c r="I91" s="13" t="s">
        <v>355</v>
      </c>
      <c r="J91" s="12" t="s">
        <v>42</v>
      </c>
      <c r="K91" s="12">
        <v>-197.41900000000001</v>
      </c>
      <c r="L91" s="12">
        <v>48.094000000000001</v>
      </c>
      <c r="M91" s="13" t="s">
        <v>356</v>
      </c>
      <c r="N91" s="13"/>
    </row>
    <row r="92" spans="2:14" ht="12" customHeight="1">
      <c r="B92" s="22" t="s">
        <v>302</v>
      </c>
      <c r="C92" s="13" t="s">
        <v>357</v>
      </c>
      <c r="D92" s="5" t="s">
        <v>358</v>
      </c>
      <c r="E92" s="5" t="s">
        <v>656</v>
      </c>
      <c r="H92" s="5" t="s">
        <v>25</v>
      </c>
      <c r="I92" s="5" t="s">
        <v>359</v>
      </c>
      <c r="J92" s="12">
        <v>17.8</v>
      </c>
      <c r="K92" s="12" t="s">
        <v>657</v>
      </c>
      <c r="L92" s="12">
        <v>89.3</v>
      </c>
      <c r="M92" s="5" t="s">
        <v>360</v>
      </c>
      <c r="N92" s="13"/>
    </row>
    <row r="93" spans="2:14" ht="12" customHeight="1">
      <c r="B93" s="22" t="s">
        <v>361</v>
      </c>
      <c r="C93" s="13" t="s">
        <v>362</v>
      </c>
      <c r="D93" s="9" t="s">
        <v>363</v>
      </c>
      <c r="E93" s="9" t="s">
        <v>364</v>
      </c>
      <c r="F93" s="11" t="s">
        <v>17</v>
      </c>
      <c r="G93" s="9" t="s">
        <v>365</v>
      </c>
      <c r="H93" s="5" t="s">
        <v>19</v>
      </c>
      <c r="I93" s="5" t="s">
        <v>243</v>
      </c>
      <c r="J93" s="12">
        <v>327.10000000000002</v>
      </c>
      <c r="K93" s="12">
        <v>95.4</v>
      </c>
      <c r="L93" s="12">
        <v>90</v>
      </c>
      <c r="M93" s="5" t="s">
        <v>366</v>
      </c>
      <c r="N93" s="13"/>
    </row>
    <row r="94" spans="2:14" ht="12" customHeight="1">
      <c r="B94" s="22" t="s">
        <v>361</v>
      </c>
      <c r="C94" s="13" t="s">
        <v>367</v>
      </c>
      <c r="D94" s="13" t="s">
        <v>368</v>
      </c>
      <c r="E94" s="13" t="s">
        <v>658</v>
      </c>
      <c r="F94" s="6"/>
      <c r="G94" s="13"/>
      <c r="H94" s="13" t="s">
        <v>25</v>
      </c>
      <c r="I94" s="5" t="s">
        <v>243</v>
      </c>
      <c r="J94" s="12" t="s">
        <v>42</v>
      </c>
      <c r="K94" s="12">
        <v>-184.6</v>
      </c>
      <c r="L94" s="12">
        <v>97.3</v>
      </c>
      <c r="M94" s="5" t="s">
        <v>369</v>
      </c>
      <c r="N94" s="13"/>
    </row>
    <row r="95" spans="2:14" ht="12" customHeight="1">
      <c r="B95" s="22" t="s">
        <v>361</v>
      </c>
      <c r="C95" s="4" t="s">
        <v>370</v>
      </c>
      <c r="D95" s="5" t="s">
        <v>371</v>
      </c>
      <c r="E95" s="5" t="s">
        <v>659</v>
      </c>
      <c r="H95" s="5" t="s">
        <v>25</v>
      </c>
      <c r="I95" s="5" t="s">
        <v>41</v>
      </c>
      <c r="J95" s="12">
        <v>0</v>
      </c>
      <c r="K95" s="12" t="s">
        <v>660</v>
      </c>
      <c r="L95" s="12">
        <v>66.599999999999994</v>
      </c>
      <c r="M95" s="5" t="s">
        <v>372</v>
      </c>
    </row>
    <row r="96" spans="2:14" ht="12" customHeight="1">
      <c r="B96" s="22" t="s">
        <v>361</v>
      </c>
      <c r="C96" s="28" t="s">
        <v>357</v>
      </c>
      <c r="D96" s="5" t="s">
        <v>358</v>
      </c>
      <c r="E96" s="5" t="s">
        <v>656</v>
      </c>
      <c r="H96" s="5" t="s">
        <v>25</v>
      </c>
      <c r="I96" s="5" t="s">
        <v>359</v>
      </c>
      <c r="J96" s="12">
        <v>17.8</v>
      </c>
      <c r="K96" s="12" t="s">
        <v>657</v>
      </c>
      <c r="L96" s="12">
        <v>89.3</v>
      </c>
      <c r="M96" s="5" t="s">
        <v>360</v>
      </c>
    </row>
    <row r="97" spans="2:20" ht="12" customHeight="1">
      <c r="B97" s="22" t="s">
        <v>361</v>
      </c>
      <c r="C97" s="4" t="s">
        <v>357</v>
      </c>
      <c r="D97" s="5" t="s">
        <v>373</v>
      </c>
      <c r="E97" s="5" t="s">
        <v>374</v>
      </c>
      <c r="F97" s="6" t="s">
        <v>35</v>
      </c>
      <c r="G97" s="13" t="s">
        <v>375</v>
      </c>
      <c r="H97" s="13" t="s">
        <v>180</v>
      </c>
      <c r="I97" s="5" t="s">
        <v>234</v>
      </c>
      <c r="J97" s="12">
        <v>945</v>
      </c>
      <c r="K97" s="12">
        <v>10.4</v>
      </c>
      <c r="L97" s="12">
        <v>362.6</v>
      </c>
      <c r="M97" s="5" t="s">
        <v>376</v>
      </c>
    </row>
    <row r="98" spans="2:20" ht="12" customHeight="1">
      <c r="B98" s="22" t="s">
        <v>361</v>
      </c>
      <c r="C98" s="4" t="s">
        <v>357</v>
      </c>
      <c r="D98" s="5" t="s">
        <v>377</v>
      </c>
      <c r="E98" s="5" t="s">
        <v>661</v>
      </c>
      <c r="H98" s="5" t="s">
        <v>78</v>
      </c>
      <c r="I98" s="15" t="s">
        <v>378</v>
      </c>
      <c r="J98" s="12">
        <v>1762.2</v>
      </c>
      <c r="K98" s="12">
        <v>172.1</v>
      </c>
      <c r="L98" s="12">
        <v>337.1</v>
      </c>
      <c r="M98" s="5" t="s">
        <v>379</v>
      </c>
    </row>
    <row r="99" spans="2:20" ht="12" customHeight="1">
      <c r="B99" s="22" t="s">
        <v>361</v>
      </c>
      <c r="C99" s="4" t="s">
        <v>380</v>
      </c>
      <c r="D99" s="9" t="s">
        <v>381</v>
      </c>
      <c r="E99" s="10" t="s">
        <v>382</v>
      </c>
      <c r="F99" s="11" t="s">
        <v>17</v>
      </c>
      <c r="G99" s="9" t="s">
        <v>383</v>
      </c>
      <c r="H99" s="5" t="s">
        <v>138</v>
      </c>
      <c r="I99" s="5" t="s">
        <v>384</v>
      </c>
      <c r="J99" s="12">
        <v>2982.9</v>
      </c>
      <c r="K99" s="12">
        <v>311.8</v>
      </c>
      <c r="L99" s="12">
        <v>1140</v>
      </c>
      <c r="M99" s="5" t="s">
        <v>385</v>
      </c>
      <c r="P99" s="17"/>
      <c r="R99" s="17"/>
    </row>
    <row r="100" spans="2:20" ht="12" customHeight="1">
      <c r="B100" s="22" t="s">
        <v>361</v>
      </c>
      <c r="C100" s="4" t="s">
        <v>380</v>
      </c>
      <c r="D100" s="5" t="s">
        <v>386</v>
      </c>
      <c r="E100" s="5" t="s">
        <v>662</v>
      </c>
      <c r="H100" s="5" t="s">
        <v>25</v>
      </c>
      <c r="I100" s="5" t="s">
        <v>387</v>
      </c>
      <c r="J100" s="12">
        <v>199.6</v>
      </c>
      <c r="K100" s="12">
        <v>-1043.9000000000001</v>
      </c>
      <c r="L100" s="12">
        <v>1227.5999999999999</v>
      </c>
      <c r="M100" s="5" t="s">
        <v>388</v>
      </c>
      <c r="Q100" s="17"/>
      <c r="R100" s="17"/>
    </row>
    <row r="101" spans="2:20" ht="12" customHeight="1">
      <c r="B101" s="22" t="s">
        <v>361</v>
      </c>
      <c r="C101" s="4" t="s">
        <v>370</v>
      </c>
      <c r="D101" s="5" t="s">
        <v>389</v>
      </c>
      <c r="E101" s="5" t="s">
        <v>663</v>
      </c>
      <c r="H101" s="5" t="s">
        <v>25</v>
      </c>
      <c r="I101" s="5" t="s">
        <v>387</v>
      </c>
      <c r="J101" s="12">
        <v>6.16</v>
      </c>
      <c r="K101" s="12" t="s">
        <v>664</v>
      </c>
      <c r="L101" s="12">
        <v>524.15800000000002</v>
      </c>
      <c r="M101" s="5" t="s">
        <v>390</v>
      </c>
      <c r="P101" s="17"/>
    </row>
    <row r="102" spans="2:20" ht="12" customHeight="1">
      <c r="B102" s="22" t="s">
        <v>361</v>
      </c>
      <c r="C102" s="18" t="s">
        <v>391</v>
      </c>
      <c r="D102" s="9" t="s">
        <v>27</v>
      </c>
      <c r="E102" s="10" t="s">
        <v>28</v>
      </c>
      <c r="F102" s="11" t="s">
        <v>17</v>
      </c>
      <c r="G102" s="9" t="s">
        <v>29</v>
      </c>
      <c r="H102" s="5" t="s">
        <v>19</v>
      </c>
      <c r="I102" s="5" t="s">
        <v>30</v>
      </c>
      <c r="J102" s="12">
        <v>399.44</v>
      </c>
      <c r="K102" s="12">
        <v>80.567999999999998</v>
      </c>
      <c r="L102" s="12">
        <v>273.52600000000001</v>
      </c>
      <c r="M102" s="5" t="s">
        <v>31</v>
      </c>
      <c r="N102" s="2" t="s">
        <v>32</v>
      </c>
    </row>
    <row r="103" spans="2:20" ht="12" customHeight="1">
      <c r="B103" s="22" t="s">
        <v>361</v>
      </c>
      <c r="C103" s="13" t="s">
        <v>392</v>
      </c>
      <c r="D103" s="5" t="s">
        <v>393</v>
      </c>
      <c r="E103" s="5" t="s">
        <v>665</v>
      </c>
      <c r="H103" s="5" t="s">
        <v>25</v>
      </c>
      <c r="I103" s="5" t="s">
        <v>394</v>
      </c>
      <c r="J103" s="12">
        <v>0.26100000000000001</v>
      </c>
      <c r="K103" s="12" t="s">
        <v>666</v>
      </c>
      <c r="L103" s="12">
        <v>139.21299999999999</v>
      </c>
      <c r="M103" s="5" t="s">
        <v>395</v>
      </c>
    </row>
    <row r="104" spans="2:20" ht="12" customHeight="1">
      <c r="B104" s="22" t="s">
        <v>361</v>
      </c>
      <c r="C104" s="14">
        <v>45999</v>
      </c>
      <c r="D104" s="5" t="s">
        <v>396</v>
      </c>
      <c r="E104" s="5" t="s">
        <v>667</v>
      </c>
      <c r="H104" s="5" t="s">
        <v>78</v>
      </c>
      <c r="I104" s="5" t="s">
        <v>397</v>
      </c>
      <c r="J104" s="12">
        <v>411.3</v>
      </c>
      <c r="K104" s="12">
        <v>25.4</v>
      </c>
      <c r="L104" s="12">
        <v>227.1</v>
      </c>
      <c r="M104" s="5" t="s">
        <v>398</v>
      </c>
      <c r="O104" s="17"/>
    </row>
    <row r="105" spans="2:20" ht="12" customHeight="1">
      <c r="B105" s="22" t="s">
        <v>361</v>
      </c>
      <c r="C105" s="4" t="s">
        <v>399</v>
      </c>
      <c r="D105" s="5" t="s">
        <v>400</v>
      </c>
      <c r="E105" s="5" t="s">
        <v>668</v>
      </c>
      <c r="H105" s="5" t="s">
        <v>78</v>
      </c>
      <c r="I105" s="5" t="s">
        <v>401</v>
      </c>
      <c r="J105" s="12">
        <v>121.4</v>
      </c>
      <c r="K105" s="12">
        <v>33.799999999999997</v>
      </c>
      <c r="L105" s="12">
        <v>0.76</v>
      </c>
      <c r="M105" s="5" t="s">
        <v>402</v>
      </c>
    </row>
    <row r="106" spans="2:20" ht="12" customHeight="1">
      <c r="B106" s="22" t="s">
        <v>361</v>
      </c>
      <c r="C106" s="19">
        <v>45816</v>
      </c>
      <c r="D106" s="5" t="s">
        <v>403</v>
      </c>
      <c r="E106" s="5" t="s">
        <v>669</v>
      </c>
      <c r="H106" s="5" t="s">
        <v>25</v>
      </c>
      <c r="I106" s="5" t="s">
        <v>404</v>
      </c>
      <c r="J106" s="12">
        <v>466.7</v>
      </c>
      <c r="K106" s="12">
        <v>136.1</v>
      </c>
      <c r="L106" s="12">
        <v>38.299999999999997</v>
      </c>
      <c r="M106" s="5" t="s">
        <v>405</v>
      </c>
      <c r="N106" s="29"/>
      <c r="O106" s="5"/>
      <c r="P106" s="5"/>
      <c r="Q106" s="30"/>
      <c r="R106" s="29"/>
      <c r="S106" s="29"/>
      <c r="T106" s="5"/>
    </row>
    <row r="107" spans="2:20" ht="12" customHeight="1">
      <c r="B107" s="22" t="s">
        <v>361</v>
      </c>
      <c r="C107" s="4" t="s">
        <v>406</v>
      </c>
      <c r="D107" s="5" t="s">
        <v>407</v>
      </c>
      <c r="E107" s="5" t="s">
        <v>670</v>
      </c>
      <c r="H107" s="5" t="s">
        <v>25</v>
      </c>
      <c r="I107" s="5" t="s">
        <v>249</v>
      </c>
      <c r="J107" s="12">
        <v>11.8</v>
      </c>
      <c r="K107" s="12" t="s">
        <v>671</v>
      </c>
      <c r="L107" s="12">
        <v>121.1</v>
      </c>
      <c r="M107" s="5" t="s">
        <v>408</v>
      </c>
      <c r="N107" s="29"/>
      <c r="O107" s="15"/>
      <c r="P107" s="5"/>
      <c r="Q107" s="29"/>
      <c r="R107" s="29"/>
      <c r="S107" s="29"/>
      <c r="T107" s="5"/>
    </row>
    <row r="108" spans="2:20" ht="12" customHeight="1">
      <c r="B108" s="22" t="s">
        <v>361</v>
      </c>
      <c r="C108" s="4" t="s">
        <v>409</v>
      </c>
      <c r="D108" s="5" t="s">
        <v>91</v>
      </c>
      <c r="E108" s="5" t="s">
        <v>603</v>
      </c>
      <c r="H108" s="5" t="s">
        <v>25</v>
      </c>
      <c r="I108" s="5" t="s">
        <v>93</v>
      </c>
      <c r="J108" s="12">
        <v>0</v>
      </c>
      <c r="K108" s="12">
        <v>-145.9</v>
      </c>
      <c r="L108" s="12">
        <v>97.8</v>
      </c>
      <c r="M108" s="5" t="s">
        <v>94</v>
      </c>
      <c r="N108" s="29"/>
      <c r="O108" s="15"/>
      <c r="P108" s="5"/>
      <c r="Q108" s="31"/>
      <c r="R108" s="29"/>
      <c r="S108" s="29"/>
      <c r="T108" s="40"/>
    </row>
    <row r="109" spans="2:20" ht="12" customHeight="1">
      <c r="B109" s="22" t="s">
        <v>361</v>
      </c>
      <c r="C109" s="4" t="s">
        <v>399</v>
      </c>
      <c r="D109" s="5" t="s">
        <v>410</v>
      </c>
      <c r="E109" s="5" t="s">
        <v>672</v>
      </c>
      <c r="H109" s="5" t="s">
        <v>112</v>
      </c>
      <c r="I109" s="5" t="s">
        <v>411</v>
      </c>
      <c r="J109" s="12">
        <v>236.4</v>
      </c>
      <c r="K109" s="12">
        <v>-45.4</v>
      </c>
      <c r="L109" s="12">
        <v>99.7</v>
      </c>
      <c r="M109" s="5" t="s">
        <v>412</v>
      </c>
      <c r="N109" s="29"/>
      <c r="O109" s="5"/>
      <c r="P109" s="5"/>
      <c r="Q109" s="31"/>
      <c r="R109" s="29"/>
      <c r="S109" s="29"/>
      <c r="T109" s="40"/>
    </row>
    <row r="110" spans="2:20" ht="12" customHeight="1">
      <c r="B110" s="41" t="s">
        <v>413</v>
      </c>
      <c r="C110" s="4" t="s">
        <v>414</v>
      </c>
      <c r="D110" s="5" t="s">
        <v>415</v>
      </c>
      <c r="E110" s="5" t="s">
        <v>673</v>
      </c>
      <c r="H110" s="5" t="s">
        <v>25</v>
      </c>
      <c r="I110" s="5" t="s">
        <v>70</v>
      </c>
      <c r="J110" s="12">
        <v>2.4E-2</v>
      </c>
      <c r="K110" s="12">
        <v>-178.30799999999999</v>
      </c>
      <c r="L110" s="12">
        <v>2.5310000000000001</v>
      </c>
      <c r="M110" s="5" t="s">
        <v>416</v>
      </c>
      <c r="N110" s="29"/>
      <c r="O110" s="5"/>
      <c r="P110" s="5"/>
      <c r="Q110" s="5"/>
      <c r="R110" s="5"/>
      <c r="S110" s="5"/>
      <c r="T110" s="40"/>
    </row>
    <row r="111" spans="2:20" ht="12" customHeight="1">
      <c r="B111" s="41" t="s">
        <v>413</v>
      </c>
      <c r="C111" s="19" t="s">
        <v>417</v>
      </c>
      <c r="D111" s="9" t="s">
        <v>418</v>
      </c>
      <c r="E111" s="10" t="s">
        <v>419</v>
      </c>
      <c r="F111" s="11" t="s">
        <v>35</v>
      </c>
      <c r="G111" s="9" t="s">
        <v>420</v>
      </c>
      <c r="H111" s="13" t="s">
        <v>180</v>
      </c>
      <c r="I111" s="5" t="s">
        <v>421</v>
      </c>
      <c r="J111" s="12">
        <v>652.70000000000005</v>
      </c>
      <c r="K111" s="12">
        <v>-196.4</v>
      </c>
      <c r="L111" s="12">
        <v>36.1</v>
      </c>
      <c r="M111" s="5" t="s">
        <v>422</v>
      </c>
      <c r="N111" s="16"/>
      <c r="O111" s="17"/>
    </row>
    <row r="112" spans="2:20" ht="12" customHeight="1">
      <c r="B112" s="41" t="s">
        <v>413</v>
      </c>
      <c r="C112" s="4" t="s">
        <v>423</v>
      </c>
      <c r="D112" s="5" t="s">
        <v>116</v>
      </c>
      <c r="E112" s="5" t="s">
        <v>610</v>
      </c>
      <c r="H112" s="5" t="s">
        <v>112</v>
      </c>
      <c r="I112" s="5" t="s">
        <v>70</v>
      </c>
      <c r="J112" s="12">
        <v>1175.0999999999999</v>
      </c>
      <c r="K112" s="12">
        <v>36.9</v>
      </c>
      <c r="L112" s="12">
        <v>296.7</v>
      </c>
      <c r="M112" s="5" t="s">
        <v>118</v>
      </c>
      <c r="N112" s="16"/>
    </row>
    <row r="113" spans="2:18" ht="12" customHeight="1">
      <c r="B113" s="41" t="s">
        <v>413</v>
      </c>
      <c r="C113" s="4" t="s">
        <v>423</v>
      </c>
      <c r="D113" s="5" t="s">
        <v>424</v>
      </c>
      <c r="E113" s="5" t="s">
        <v>674</v>
      </c>
      <c r="H113" s="5" t="s">
        <v>425</v>
      </c>
      <c r="I113" s="5" t="s">
        <v>426</v>
      </c>
      <c r="J113" s="12">
        <v>500.4</v>
      </c>
      <c r="K113" s="12">
        <v>44.4</v>
      </c>
      <c r="L113" s="12">
        <v>107.8</v>
      </c>
      <c r="M113" s="5" t="s">
        <v>427</v>
      </c>
      <c r="N113" s="16"/>
    </row>
    <row r="114" spans="2:18" ht="12" customHeight="1">
      <c r="B114" s="41" t="s">
        <v>413</v>
      </c>
      <c r="C114" s="4" t="s">
        <v>428</v>
      </c>
      <c r="D114" s="5" t="s">
        <v>429</v>
      </c>
      <c r="E114" s="5" t="s">
        <v>675</v>
      </c>
      <c r="H114" s="5" t="s">
        <v>25</v>
      </c>
      <c r="I114" s="5" t="s">
        <v>430</v>
      </c>
      <c r="J114" s="12">
        <v>22.6</v>
      </c>
      <c r="K114" s="12">
        <v>-544.4</v>
      </c>
      <c r="L114" s="12">
        <v>431.5</v>
      </c>
      <c r="M114" s="5" t="s">
        <v>431</v>
      </c>
      <c r="N114" s="16"/>
    </row>
    <row r="115" spans="2:18" ht="12" customHeight="1">
      <c r="B115" s="41" t="s">
        <v>413</v>
      </c>
      <c r="C115" s="19" t="s">
        <v>417</v>
      </c>
      <c r="D115" s="5" t="s">
        <v>432</v>
      </c>
      <c r="E115" s="5" t="s">
        <v>676</v>
      </c>
      <c r="H115" s="13" t="s">
        <v>180</v>
      </c>
      <c r="I115" s="5" t="s">
        <v>433</v>
      </c>
      <c r="J115" s="12">
        <v>620.70000000000005</v>
      </c>
      <c r="K115" s="12">
        <v>-107.7</v>
      </c>
      <c r="L115" s="12">
        <v>58.3</v>
      </c>
      <c r="M115" s="5" t="s">
        <v>434</v>
      </c>
      <c r="N115" s="14" t="s">
        <v>677</v>
      </c>
    </row>
    <row r="116" spans="2:18" ht="12" customHeight="1">
      <c r="B116" s="41" t="s">
        <v>413</v>
      </c>
      <c r="C116" s="4" t="s">
        <v>435</v>
      </c>
      <c r="D116" s="5" t="s">
        <v>436</v>
      </c>
      <c r="E116" s="5" t="s">
        <v>678</v>
      </c>
      <c r="H116" s="5" t="s">
        <v>25</v>
      </c>
      <c r="I116" s="5" t="s">
        <v>437</v>
      </c>
      <c r="J116" s="12">
        <v>0</v>
      </c>
      <c r="K116" s="12">
        <v>-123.393</v>
      </c>
      <c r="L116" s="12">
        <v>149.797</v>
      </c>
      <c r="M116" s="5" t="s">
        <v>438</v>
      </c>
    </row>
    <row r="117" spans="2:18" ht="12" customHeight="1">
      <c r="B117" s="41" t="s">
        <v>413</v>
      </c>
      <c r="C117" s="19">
        <v>45967</v>
      </c>
      <c r="D117" s="5" t="s">
        <v>439</v>
      </c>
      <c r="E117" s="5" t="s">
        <v>679</v>
      </c>
      <c r="H117" s="5" t="s">
        <v>25</v>
      </c>
      <c r="I117" s="5" t="s">
        <v>218</v>
      </c>
      <c r="J117" s="12">
        <v>607.75199999999995</v>
      </c>
      <c r="K117" s="12">
        <v>21.088000000000001</v>
      </c>
      <c r="L117" s="12">
        <v>81.936999999999998</v>
      </c>
      <c r="M117" s="5" t="s">
        <v>440</v>
      </c>
      <c r="N117" s="2" t="s">
        <v>441</v>
      </c>
    </row>
    <row r="118" spans="2:18" ht="12" customHeight="1">
      <c r="B118" s="41" t="s">
        <v>413</v>
      </c>
      <c r="C118" s="4" t="s">
        <v>442</v>
      </c>
      <c r="D118" s="9" t="s">
        <v>443</v>
      </c>
      <c r="E118" s="10" t="s">
        <v>444</v>
      </c>
      <c r="F118" s="11" t="s">
        <v>17</v>
      </c>
      <c r="G118" s="9" t="s">
        <v>445</v>
      </c>
      <c r="H118" s="5" t="s">
        <v>25</v>
      </c>
      <c r="I118" s="20" t="s">
        <v>446</v>
      </c>
      <c r="J118" s="12">
        <v>44.1</v>
      </c>
      <c r="K118" s="12">
        <v>-149.30000000000001</v>
      </c>
      <c r="L118" s="12">
        <v>471.9</v>
      </c>
      <c r="M118" s="5" t="s">
        <v>447</v>
      </c>
      <c r="O118" s="16"/>
    </row>
    <row r="119" spans="2:18" ht="12" customHeight="1">
      <c r="B119" s="41" t="s">
        <v>413</v>
      </c>
      <c r="C119" s="4" t="s">
        <v>448</v>
      </c>
      <c r="D119" s="5" t="s">
        <v>449</v>
      </c>
      <c r="E119" s="5" t="s">
        <v>680</v>
      </c>
      <c r="H119" s="5" t="s">
        <v>25</v>
      </c>
      <c r="I119" s="5" t="s">
        <v>450</v>
      </c>
      <c r="J119" s="12">
        <v>0</v>
      </c>
      <c r="K119" s="12">
        <v>-115.8</v>
      </c>
      <c r="L119" s="12">
        <v>161.19999999999999</v>
      </c>
      <c r="M119" s="5" t="s">
        <v>451</v>
      </c>
      <c r="O119" s="16"/>
    </row>
    <row r="120" spans="2:18" ht="12" customHeight="1">
      <c r="B120" s="41" t="s">
        <v>413</v>
      </c>
      <c r="C120" s="4" t="s">
        <v>452</v>
      </c>
      <c r="D120" s="5" t="s">
        <v>453</v>
      </c>
      <c r="E120" s="5" t="s">
        <v>681</v>
      </c>
      <c r="H120" s="5" t="s">
        <v>78</v>
      </c>
      <c r="I120" s="5" t="s">
        <v>54</v>
      </c>
      <c r="J120" s="12">
        <v>834.1</v>
      </c>
      <c r="K120" s="12">
        <v>94.1</v>
      </c>
      <c r="L120" s="12">
        <v>162.6</v>
      </c>
      <c r="M120" s="5" t="s">
        <v>454</v>
      </c>
    </row>
    <row r="121" spans="2:18" ht="12" customHeight="1">
      <c r="B121" s="41" t="s">
        <v>413</v>
      </c>
      <c r="C121" s="19">
        <v>45813</v>
      </c>
      <c r="D121" s="5" t="s">
        <v>455</v>
      </c>
      <c r="E121" s="5" t="s">
        <v>682</v>
      </c>
      <c r="H121" s="5" t="s">
        <v>19</v>
      </c>
      <c r="I121" s="5" t="s">
        <v>20</v>
      </c>
      <c r="J121" s="12">
        <v>14.5</v>
      </c>
      <c r="K121" s="12">
        <v>-69.400000000000006</v>
      </c>
      <c r="L121" s="12">
        <v>33.200000000000003</v>
      </c>
      <c r="M121" s="5" t="s">
        <v>456</v>
      </c>
    </row>
    <row r="122" spans="2:18" ht="12" customHeight="1">
      <c r="B122" s="41" t="s">
        <v>413</v>
      </c>
      <c r="C122" s="4" t="s">
        <v>457</v>
      </c>
      <c r="D122" s="5" t="s">
        <v>458</v>
      </c>
      <c r="E122" s="5" t="s">
        <v>683</v>
      </c>
      <c r="H122" s="5" t="s">
        <v>19</v>
      </c>
      <c r="I122" s="5" t="s">
        <v>459</v>
      </c>
      <c r="J122" s="12">
        <v>263.60000000000002</v>
      </c>
      <c r="K122" s="12">
        <v>-97.1</v>
      </c>
      <c r="L122" s="12">
        <v>125.6</v>
      </c>
      <c r="M122" s="5" t="s">
        <v>460</v>
      </c>
    </row>
    <row r="123" spans="2:18" ht="12" customHeight="1">
      <c r="B123" s="41" t="s">
        <v>413</v>
      </c>
      <c r="C123" s="4" t="s">
        <v>461</v>
      </c>
      <c r="D123" s="5" t="s">
        <v>462</v>
      </c>
      <c r="E123" s="5" t="s">
        <v>684</v>
      </c>
      <c r="H123" s="5" t="s">
        <v>138</v>
      </c>
      <c r="I123" s="5" t="s">
        <v>463</v>
      </c>
      <c r="J123" s="12">
        <v>3.44</v>
      </c>
      <c r="K123" s="12">
        <v>-168.68</v>
      </c>
      <c r="L123" s="12">
        <v>265.32</v>
      </c>
      <c r="M123" s="5" t="s">
        <v>464</v>
      </c>
      <c r="N123" s="16"/>
      <c r="O123" s="16"/>
    </row>
    <row r="124" spans="2:18" ht="12" customHeight="1">
      <c r="B124" s="41" t="s">
        <v>413</v>
      </c>
      <c r="C124" s="19" t="s">
        <v>465</v>
      </c>
      <c r="D124" s="5" t="s">
        <v>466</v>
      </c>
      <c r="E124" s="5" t="s">
        <v>685</v>
      </c>
      <c r="H124" s="5" t="s">
        <v>19</v>
      </c>
      <c r="I124" s="5" t="s">
        <v>467</v>
      </c>
      <c r="J124" s="12">
        <v>483.71</v>
      </c>
      <c r="K124" s="12">
        <v>-44.1</v>
      </c>
      <c r="L124" s="12">
        <v>35.85</v>
      </c>
      <c r="M124" s="5" t="s">
        <v>468</v>
      </c>
      <c r="N124" s="16" t="s">
        <v>469</v>
      </c>
    </row>
    <row r="125" spans="2:18" ht="12" customHeight="1">
      <c r="B125" s="41" t="s">
        <v>413</v>
      </c>
      <c r="C125" s="19">
        <v>45661</v>
      </c>
      <c r="D125" s="5" t="s">
        <v>470</v>
      </c>
      <c r="E125" s="5" t="s">
        <v>686</v>
      </c>
      <c r="H125" s="5" t="s">
        <v>425</v>
      </c>
      <c r="I125" s="5" t="s">
        <v>471</v>
      </c>
      <c r="J125" s="12">
        <v>958.58</v>
      </c>
      <c r="K125" s="12">
        <v>83.81</v>
      </c>
      <c r="L125" s="12">
        <v>307.97000000000003</v>
      </c>
      <c r="M125" s="5" t="s">
        <v>472</v>
      </c>
      <c r="Q125" s="17"/>
      <c r="R125" s="17"/>
    </row>
    <row r="126" spans="2:18" ht="12" customHeight="1">
      <c r="B126" s="41" t="s">
        <v>413</v>
      </c>
      <c r="C126" s="4" t="s">
        <v>473</v>
      </c>
      <c r="D126" s="5" t="s">
        <v>474</v>
      </c>
      <c r="E126" s="5" t="s">
        <v>687</v>
      </c>
      <c r="H126" s="5" t="s">
        <v>25</v>
      </c>
      <c r="I126" s="5" t="s">
        <v>475</v>
      </c>
      <c r="J126" s="12">
        <v>5823</v>
      </c>
      <c r="K126" s="12">
        <v>3600</v>
      </c>
      <c r="L126" s="12">
        <v>6085.692</v>
      </c>
      <c r="M126" s="5" t="s">
        <v>476</v>
      </c>
    </row>
    <row r="127" spans="2:18" ht="12" customHeight="1">
      <c r="B127" s="41" t="s">
        <v>413</v>
      </c>
      <c r="C127" s="32" t="s">
        <v>477</v>
      </c>
      <c r="D127" s="33" t="s">
        <v>688</v>
      </c>
      <c r="E127" s="33" t="s">
        <v>689</v>
      </c>
      <c r="F127" s="42"/>
      <c r="G127" s="34"/>
      <c r="H127" s="33" t="s">
        <v>25</v>
      </c>
      <c r="I127" s="33" t="s">
        <v>218</v>
      </c>
      <c r="J127" s="35">
        <v>259.60000000000002</v>
      </c>
      <c r="K127" s="35">
        <v>-258.7</v>
      </c>
      <c r="L127" s="35">
        <v>132.19999999999999</v>
      </c>
      <c r="M127" s="33" t="s">
        <v>478</v>
      </c>
      <c r="N127" s="34"/>
    </row>
    <row r="128" spans="2:18" ht="12" hidden="1" customHeight="1" outlineLevel="1">
      <c r="B128" s="36">
        <v>2024</v>
      </c>
      <c r="C128" s="37"/>
      <c r="D128" s="38"/>
      <c r="E128" s="33"/>
      <c r="F128" s="42"/>
      <c r="G128" s="34"/>
      <c r="H128" s="33"/>
      <c r="I128" s="33"/>
      <c r="J128" s="35"/>
      <c r="K128" s="35"/>
      <c r="L128" s="35"/>
      <c r="M128" s="33"/>
    </row>
    <row r="129" spans="2:18" ht="12" hidden="1" customHeight="1" outlineLevel="1">
      <c r="B129" s="2" t="s">
        <v>413</v>
      </c>
      <c r="C129" s="4" t="s">
        <v>479</v>
      </c>
      <c r="D129" s="5" t="s">
        <v>480</v>
      </c>
      <c r="E129" s="5" t="s">
        <v>690</v>
      </c>
      <c r="H129" s="5" t="s">
        <v>37</v>
      </c>
      <c r="I129" s="5" t="s">
        <v>481</v>
      </c>
      <c r="J129" s="12">
        <v>1863</v>
      </c>
      <c r="K129" s="12">
        <v>-1478</v>
      </c>
      <c r="L129" s="12" t="s">
        <v>482</v>
      </c>
      <c r="M129" s="5" t="s">
        <v>483</v>
      </c>
    </row>
    <row r="130" spans="2:18" ht="12" hidden="1" customHeight="1" outlineLevel="1">
      <c r="B130" s="2" t="s">
        <v>484</v>
      </c>
      <c r="C130" s="4" t="s">
        <v>485</v>
      </c>
      <c r="D130" s="5" t="s">
        <v>486</v>
      </c>
      <c r="E130" s="5" t="s">
        <v>691</v>
      </c>
      <c r="H130" s="5" t="s">
        <v>46</v>
      </c>
      <c r="I130" s="5" t="s">
        <v>54</v>
      </c>
      <c r="J130" s="12">
        <v>104.703</v>
      </c>
      <c r="K130" s="12">
        <v>-677.64099999999996</v>
      </c>
      <c r="L130" s="12">
        <v>362.125</v>
      </c>
      <c r="M130" s="5" t="s">
        <v>487</v>
      </c>
    </row>
    <row r="131" spans="2:18" ht="12" hidden="1" customHeight="1" outlineLevel="1">
      <c r="B131" s="2" t="s">
        <v>484</v>
      </c>
      <c r="C131" s="19">
        <v>45363</v>
      </c>
      <c r="D131" s="5" t="s">
        <v>488</v>
      </c>
      <c r="E131" s="5" t="s">
        <v>692</v>
      </c>
      <c r="H131" s="5" t="s">
        <v>46</v>
      </c>
      <c r="I131" s="5" t="s">
        <v>489</v>
      </c>
      <c r="J131" s="12">
        <v>54.6</v>
      </c>
      <c r="K131" s="12">
        <v>-563.20000000000005</v>
      </c>
      <c r="L131" s="12">
        <v>523.4</v>
      </c>
      <c r="M131" s="5" t="s">
        <v>490</v>
      </c>
    </row>
    <row r="132" spans="2:18" ht="12" hidden="1" customHeight="1" outlineLevel="1">
      <c r="B132" s="2" t="s">
        <v>413</v>
      </c>
      <c r="C132" s="19">
        <v>45334</v>
      </c>
      <c r="D132" s="5" t="s">
        <v>491</v>
      </c>
      <c r="E132" s="5" t="s">
        <v>693</v>
      </c>
      <c r="H132" s="5" t="s">
        <v>46</v>
      </c>
      <c r="I132" s="5" t="s">
        <v>481</v>
      </c>
      <c r="J132" s="12">
        <v>0</v>
      </c>
      <c r="K132" s="12">
        <v>-186.5</v>
      </c>
      <c r="L132" s="12">
        <v>159.30000000000001</v>
      </c>
      <c r="M132" s="5" t="s">
        <v>492</v>
      </c>
    </row>
    <row r="133" spans="2:18" ht="12" hidden="1" customHeight="1" outlineLevel="1">
      <c r="B133" s="2" t="s">
        <v>413</v>
      </c>
      <c r="C133" s="4" t="s">
        <v>493</v>
      </c>
      <c r="D133" s="5" t="s">
        <v>494</v>
      </c>
      <c r="E133" s="5" t="s">
        <v>694</v>
      </c>
      <c r="H133" s="5" t="s">
        <v>37</v>
      </c>
      <c r="I133" s="5" t="s">
        <v>411</v>
      </c>
      <c r="J133" s="12">
        <v>1215.8</v>
      </c>
      <c r="K133" s="12">
        <v>203.7</v>
      </c>
      <c r="L133" s="12">
        <v>393.2</v>
      </c>
      <c r="M133" s="5" t="s">
        <v>495</v>
      </c>
      <c r="P133" s="17"/>
    </row>
    <row r="134" spans="2:18" ht="12" hidden="1" customHeight="1" outlineLevel="1">
      <c r="B134" s="2" t="s">
        <v>484</v>
      </c>
      <c r="C134" s="4" t="s">
        <v>493</v>
      </c>
      <c r="D134" s="5" t="s">
        <v>496</v>
      </c>
      <c r="E134" s="5" t="s">
        <v>695</v>
      </c>
      <c r="H134" s="5" t="s">
        <v>46</v>
      </c>
      <c r="I134" s="5" t="s">
        <v>311</v>
      </c>
      <c r="J134" s="12">
        <v>21.5</v>
      </c>
      <c r="K134" s="12">
        <v>-502</v>
      </c>
      <c r="L134" s="12">
        <v>873.6</v>
      </c>
      <c r="M134" s="5" t="s">
        <v>497</v>
      </c>
      <c r="P134" s="17"/>
    </row>
    <row r="135" spans="2:18" ht="12" hidden="1" customHeight="1" outlineLevel="1">
      <c r="B135" s="2" t="s">
        <v>413</v>
      </c>
      <c r="C135" s="4" t="s">
        <v>498</v>
      </c>
      <c r="D135" s="5" t="s">
        <v>499</v>
      </c>
      <c r="E135" s="5" t="s">
        <v>696</v>
      </c>
      <c r="H135" s="5" t="s">
        <v>46</v>
      </c>
      <c r="I135" s="5" t="s">
        <v>500</v>
      </c>
      <c r="J135" s="12">
        <v>760</v>
      </c>
      <c r="K135" s="12">
        <v>-488</v>
      </c>
      <c r="L135" s="12">
        <v>350</v>
      </c>
      <c r="M135" s="5" t="s">
        <v>501</v>
      </c>
    </row>
    <row r="136" spans="2:18" ht="12" hidden="1" customHeight="1" outlineLevel="1">
      <c r="B136" s="2" t="s">
        <v>413</v>
      </c>
      <c r="C136" s="19">
        <v>45967</v>
      </c>
      <c r="D136" s="5" t="s">
        <v>502</v>
      </c>
      <c r="E136" s="5" t="s">
        <v>679</v>
      </c>
      <c r="H136" s="5" t="s">
        <v>46</v>
      </c>
      <c r="I136" s="5" t="s">
        <v>218</v>
      </c>
      <c r="J136" s="12">
        <v>607.75199999999995</v>
      </c>
      <c r="K136" s="12">
        <v>21.088000000000001</v>
      </c>
      <c r="L136" s="12">
        <v>81.936999999999998</v>
      </c>
      <c r="M136" s="5" t="s">
        <v>503</v>
      </c>
    </row>
    <row r="137" spans="2:18" ht="12" hidden="1" customHeight="1" outlineLevel="1">
      <c r="B137" s="2" t="s">
        <v>484</v>
      </c>
      <c r="C137" s="19" t="s">
        <v>504</v>
      </c>
      <c r="D137" s="5" t="s">
        <v>505</v>
      </c>
      <c r="E137" s="5" t="s">
        <v>697</v>
      </c>
      <c r="H137" s="5" t="s">
        <v>46</v>
      </c>
      <c r="I137" s="5" t="s">
        <v>506</v>
      </c>
      <c r="J137" s="12">
        <v>30.094000000000001</v>
      </c>
      <c r="K137" s="12">
        <v>-556.42999999999995</v>
      </c>
      <c r="L137" s="12">
        <v>135.249</v>
      </c>
      <c r="M137" s="5" t="s">
        <v>507</v>
      </c>
    </row>
    <row r="138" spans="2:18" ht="12" hidden="1" customHeight="1" outlineLevel="1">
      <c r="B138" s="2" t="s">
        <v>413</v>
      </c>
      <c r="C138" s="4" t="s">
        <v>508</v>
      </c>
      <c r="D138" s="5" t="s">
        <v>449</v>
      </c>
      <c r="E138" s="5" t="s">
        <v>698</v>
      </c>
      <c r="H138" s="5" t="s">
        <v>46</v>
      </c>
      <c r="I138" s="5" t="s">
        <v>450</v>
      </c>
      <c r="J138" s="12">
        <v>0</v>
      </c>
      <c r="K138" s="12">
        <v>-115.8</v>
      </c>
      <c r="L138" s="12">
        <v>161.19999999999999</v>
      </c>
      <c r="M138" s="5" t="s">
        <v>509</v>
      </c>
      <c r="P138" s="17"/>
    </row>
    <row r="139" spans="2:18" ht="12" hidden="1" customHeight="1" outlineLevel="1">
      <c r="B139" s="2" t="s">
        <v>413</v>
      </c>
      <c r="C139" s="13" t="s">
        <v>392</v>
      </c>
      <c r="D139" s="5" t="s">
        <v>510</v>
      </c>
      <c r="E139" s="5" t="s">
        <v>699</v>
      </c>
      <c r="H139" s="5" t="s">
        <v>46</v>
      </c>
      <c r="I139" s="5" t="s">
        <v>394</v>
      </c>
      <c r="J139" s="12">
        <v>0.26100000000000001</v>
      </c>
      <c r="K139" s="12" t="s">
        <v>666</v>
      </c>
      <c r="L139" s="12">
        <v>139.21299999999999</v>
      </c>
      <c r="M139" s="5" t="s">
        <v>511</v>
      </c>
    </row>
    <row r="140" spans="2:18" ht="12" hidden="1" customHeight="1" outlineLevel="1">
      <c r="B140" s="2" t="s">
        <v>413</v>
      </c>
      <c r="C140" s="19">
        <v>45843</v>
      </c>
      <c r="D140" s="5" t="s">
        <v>512</v>
      </c>
      <c r="E140" s="5" t="s">
        <v>700</v>
      </c>
      <c r="H140" s="5" t="s">
        <v>513</v>
      </c>
      <c r="I140" s="5" t="s">
        <v>500</v>
      </c>
      <c r="J140" s="12">
        <v>367.3</v>
      </c>
      <c r="K140" s="12">
        <v>-122.5</v>
      </c>
      <c r="L140" s="12">
        <v>294.7</v>
      </c>
      <c r="M140" s="5" t="s">
        <v>514</v>
      </c>
    </row>
    <row r="141" spans="2:18" ht="12" hidden="1" customHeight="1" outlineLevel="1">
      <c r="B141" s="2" t="s">
        <v>413</v>
      </c>
      <c r="C141" s="13" t="s">
        <v>392</v>
      </c>
      <c r="D141" s="5" t="s">
        <v>515</v>
      </c>
      <c r="E141" s="5" t="s">
        <v>701</v>
      </c>
      <c r="H141" s="5" t="s">
        <v>37</v>
      </c>
      <c r="I141" s="5" t="s">
        <v>433</v>
      </c>
      <c r="J141" s="12">
        <v>620.70000000000005</v>
      </c>
      <c r="K141" s="12">
        <v>-107.7</v>
      </c>
      <c r="L141" s="12">
        <v>58.3</v>
      </c>
      <c r="M141" s="5" t="s">
        <v>516</v>
      </c>
      <c r="P141" s="17"/>
    </row>
    <row r="142" spans="2:18" ht="12" hidden="1" customHeight="1" outlineLevel="1">
      <c r="B142" s="2" t="s">
        <v>484</v>
      </c>
      <c r="C142" s="19">
        <v>45361</v>
      </c>
      <c r="D142" s="5" t="s">
        <v>517</v>
      </c>
      <c r="E142" s="5" t="s">
        <v>702</v>
      </c>
      <c r="H142" s="5" t="s">
        <v>37</v>
      </c>
      <c r="I142" s="5" t="s">
        <v>518</v>
      </c>
      <c r="J142" s="12">
        <v>2659</v>
      </c>
      <c r="K142" s="12">
        <v>108.9</v>
      </c>
      <c r="L142" s="12">
        <v>116.9</v>
      </c>
      <c r="M142" s="15" t="s">
        <v>519</v>
      </c>
    </row>
    <row r="143" spans="2:18" ht="12" hidden="1" customHeight="1" outlineLevel="1">
      <c r="B143" s="2" t="s">
        <v>413</v>
      </c>
      <c r="C143" s="4" t="s">
        <v>520</v>
      </c>
      <c r="D143" s="5" t="s">
        <v>521</v>
      </c>
      <c r="E143" s="5" t="s">
        <v>703</v>
      </c>
      <c r="H143" s="5" t="s">
        <v>46</v>
      </c>
      <c r="I143" s="5" t="s">
        <v>70</v>
      </c>
      <c r="J143" s="12">
        <v>0</v>
      </c>
      <c r="K143" s="12">
        <v>-196</v>
      </c>
      <c r="L143" s="12" t="s">
        <v>42</v>
      </c>
      <c r="M143" s="5" t="s">
        <v>522</v>
      </c>
      <c r="P143" s="39"/>
      <c r="R143" s="39"/>
    </row>
    <row r="144" spans="2:18" ht="12" hidden="1" customHeight="1" outlineLevel="1">
      <c r="B144" s="2" t="s">
        <v>413</v>
      </c>
      <c r="C144" s="4" t="s">
        <v>523</v>
      </c>
      <c r="D144" s="5" t="s">
        <v>524</v>
      </c>
      <c r="E144" s="5" t="s">
        <v>704</v>
      </c>
      <c r="H144" s="5" t="s">
        <v>37</v>
      </c>
      <c r="I144" s="5" t="s">
        <v>525</v>
      </c>
      <c r="J144" s="12">
        <v>494</v>
      </c>
      <c r="K144" s="12">
        <v>64.7</v>
      </c>
      <c r="L144" s="12">
        <v>189</v>
      </c>
      <c r="M144" s="5" t="s">
        <v>526</v>
      </c>
      <c r="P144" s="39"/>
      <c r="Q144" s="39"/>
    </row>
    <row r="145" spans="2:18" ht="12" hidden="1" customHeight="1" outlineLevel="1">
      <c r="B145" s="2" t="s">
        <v>484</v>
      </c>
      <c r="C145" s="4" t="s">
        <v>527</v>
      </c>
      <c r="D145" s="5" t="s">
        <v>528</v>
      </c>
      <c r="E145" s="5" t="s">
        <v>705</v>
      </c>
      <c r="H145" s="5" t="s">
        <v>46</v>
      </c>
      <c r="I145" s="5" t="s">
        <v>529</v>
      </c>
      <c r="J145" s="12">
        <v>0</v>
      </c>
      <c r="K145" s="12">
        <v>-845.9</v>
      </c>
      <c r="L145" s="12">
        <v>1214.5999999999999</v>
      </c>
      <c r="M145" s="5" t="s">
        <v>530</v>
      </c>
      <c r="P145" s="39"/>
    </row>
    <row r="146" spans="2:18" ht="12" hidden="1" customHeight="1" outlineLevel="1">
      <c r="B146" s="2" t="s">
        <v>413</v>
      </c>
      <c r="C146" s="4" t="s">
        <v>473</v>
      </c>
      <c r="D146" s="5" t="s">
        <v>531</v>
      </c>
      <c r="E146" s="5" t="s">
        <v>687</v>
      </c>
      <c r="H146" s="5" t="s">
        <v>46</v>
      </c>
      <c r="I146" s="5" t="s">
        <v>475</v>
      </c>
      <c r="J146" s="12">
        <v>5823</v>
      </c>
      <c r="K146" s="12">
        <v>3600</v>
      </c>
      <c r="L146" s="12" t="s">
        <v>482</v>
      </c>
      <c r="M146" s="5" t="s">
        <v>532</v>
      </c>
      <c r="R146" s="17"/>
    </row>
    <row r="147" spans="2:18" ht="12" hidden="1" customHeight="1" outlineLevel="1">
      <c r="B147" s="2" t="s">
        <v>413</v>
      </c>
      <c r="C147" s="4" t="s">
        <v>533</v>
      </c>
      <c r="D147" s="5" t="s">
        <v>534</v>
      </c>
      <c r="E147" s="5" t="s">
        <v>706</v>
      </c>
      <c r="H147" s="5" t="s">
        <v>46</v>
      </c>
      <c r="I147" s="5" t="s">
        <v>535</v>
      </c>
      <c r="J147" s="12">
        <v>106.6</v>
      </c>
      <c r="K147" s="12" t="s">
        <v>707</v>
      </c>
      <c r="L147" s="12">
        <v>32.799999999999997</v>
      </c>
      <c r="M147" s="5" t="s">
        <v>536</v>
      </c>
    </row>
    <row r="148" spans="2:18" ht="12" hidden="1" customHeight="1" outlineLevel="1">
      <c r="B148" s="2" t="s">
        <v>484</v>
      </c>
      <c r="C148" s="4" t="s">
        <v>537</v>
      </c>
      <c r="D148" s="5" t="s">
        <v>538</v>
      </c>
      <c r="E148" s="5" t="s">
        <v>708</v>
      </c>
      <c r="H148" s="5" t="s">
        <v>46</v>
      </c>
      <c r="I148" s="5" t="s">
        <v>539</v>
      </c>
      <c r="J148" s="12">
        <v>35.5</v>
      </c>
      <c r="K148" s="12">
        <v>-482.7</v>
      </c>
      <c r="L148" s="12">
        <v>649.20000000000005</v>
      </c>
      <c r="M148" s="5" t="s">
        <v>540</v>
      </c>
    </row>
    <row r="149" spans="2:18" ht="12" hidden="1" customHeight="1" outlineLevel="1">
      <c r="B149" s="2" t="s">
        <v>413</v>
      </c>
      <c r="C149" s="4" t="s">
        <v>399</v>
      </c>
      <c r="D149" s="5" t="s">
        <v>470</v>
      </c>
      <c r="E149" s="5" t="s">
        <v>709</v>
      </c>
      <c r="H149" s="5" t="s">
        <v>37</v>
      </c>
      <c r="I149" s="5" t="s">
        <v>471</v>
      </c>
      <c r="J149" s="12">
        <v>958.6</v>
      </c>
      <c r="K149" s="12">
        <v>83.8</v>
      </c>
      <c r="L149" s="12">
        <v>308</v>
      </c>
      <c r="M149" s="5" t="s">
        <v>541</v>
      </c>
      <c r="R149" s="17"/>
    </row>
    <row r="150" spans="2:18" ht="12" hidden="1" customHeight="1" outlineLevel="1">
      <c r="B150" s="2" t="s">
        <v>413</v>
      </c>
      <c r="C150" s="4" t="s">
        <v>542</v>
      </c>
      <c r="D150" s="5" t="s">
        <v>543</v>
      </c>
      <c r="E150" s="5" t="s">
        <v>710</v>
      </c>
      <c r="H150" s="5" t="s">
        <v>513</v>
      </c>
      <c r="I150" s="5" t="s">
        <v>70</v>
      </c>
      <c r="J150" s="12">
        <v>471</v>
      </c>
      <c r="K150" s="12">
        <v>-164</v>
      </c>
      <c r="L150" s="12">
        <v>33.042000000000002</v>
      </c>
      <c r="M150" s="5" t="s">
        <v>544</v>
      </c>
    </row>
    <row r="151" spans="2:18" ht="12" hidden="1" customHeight="1" outlineLevel="1">
      <c r="B151" s="2" t="s">
        <v>413</v>
      </c>
      <c r="C151" s="4" t="s">
        <v>545</v>
      </c>
      <c r="D151" s="5" t="s">
        <v>546</v>
      </c>
      <c r="E151" s="5" t="s">
        <v>711</v>
      </c>
      <c r="H151" s="5" t="s">
        <v>19</v>
      </c>
      <c r="I151" s="5" t="s">
        <v>547</v>
      </c>
      <c r="J151" s="12">
        <v>8.9</v>
      </c>
      <c r="K151" s="12">
        <v>-83.2</v>
      </c>
      <c r="L151" s="12">
        <v>23.5</v>
      </c>
      <c r="M151" s="5" t="s">
        <v>548</v>
      </c>
    </row>
    <row r="152" spans="2:18" ht="12" hidden="1" customHeight="1" outlineLevel="1">
      <c r="B152" s="2" t="s">
        <v>484</v>
      </c>
      <c r="C152" s="4" t="s">
        <v>549</v>
      </c>
      <c r="D152" s="5" t="s">
        <v>550</v>
      </c>
      <c r="E152" s="5" t="s">
        <v>712</v>
      </c>
      <c r="H152" s="5" t="s">
        <v>37</v>
      </c>
      <c r="I152" s="5" t="s">
        <v>551</v>
      </c>
      <c r="J152" s="12">
        <v>61.7</v>
      </c>
      <c r="K152" s="12">
        <v>-625.4</v>
      </c>
      <c r="L152" s="12">
        <v>1003.8</v>
      </c>
      <c r="M152" s="5" t="s">
        <v>552</v>
      </c>
    </row>
    <row r="153" spans="2:18" ht="12" hidden="1" customHeight="1" outlineLevel="1">
      <c r="B153" s="2" t="s">
        <v>413</v>
      </c>
      <c r="C153" s="4" t="s">
        <v>549</v>
      </c>
      <c r="D153" s="5" t="s">
        <v>553</v>
      </c>
      <c r="E153" s="5" t="s">
        <v>713</v>
      </c>
      <c r="H153" s="5" t="s">
        <v>37</v>
      </c>
      <c r="I153" s="5" t="s">
        <v>446</v>
      </c>
      <c r="J153" s="12">
        <v>1880</v>
      </c>
      <c r="K153" s="12">
        <v>-17.251999999999999</v>
      </c>
      <c r="L153" s="12" t="s">
        <v>42</v>
      </c>
      <c r="M153" s="5" t="s">
        <v>554</v>
      </c>
    </row>
    <row r="154" spans="2:18" ht="12" hidden="1" customHeight="1" outlineLevel="1">
      <c r="B154" s="2" t="s">
        <v>484</v>
      </c>
      <c r="C154" s="4" t="s">
        <v>555</v>
      </c>
      <c r="D154" s="5" t="s">
        <v>556</v>
      </c>
      <c r="E154" s="5" t="s">
        <v>714</v>
      </c>
      <c r="H154" s="5" t="s">
        <v>46</v>
      </c>
      <c r="I154" s="5" t="s">
        <v>557</v>
      </c>
      <c r="J154" s="12">
        <v>2.78</v>
      </c>
      <c r="K154" s="12">
        <v>-182.24</v>
      </c>
      <c r="L154" s="12">
        <v>626.46</v>
      </c>
      <c r="M154" s="5" t="s">
        <v>558</v>
      </c>
      <c r="O154" s="17"/>
    </row>
    <row r="155" spans="2:18" ht="12" hidden="1" customHeight="1" outlineLevel="1">
      <c r="B155" s="2" t="s">
        <v>413</v>
      </c>
      <c r="C155" s="4" t="s">
        <v>559</v>
      </c>
      <c r="D155" s="5" t="s">
        <v>560</v>
      </c>
      <c r="E155" s="5" t="s">
        <v>715</v>
      </c>
      <c r="H155" s="15" t="s">
        <v>37</v>
      </c>
      <c r="I155" s="5" t="s">
        <v>561</v>
      </c>
      <c r="J155" s="12">
        <v>1677.3</v>
      </c>
      <c r="K155" s="12">
        <v>-547.29999999999995</v>
      </c>
      <c r="L155" s="12">
        <v>79.8</v>
      </c>
      <c r="M155" s="5" t="s">
        <v>562</v>
      </c>
    </row>
    <row r="156" spans="2:18" ht="12" hidden="1" customHeight="1" outlineLevel="1">
      <c r="B156" s="2" t="s">
        <v>413</v>
      </c>
      <c r="C156" s="28" t="s">
        <v>563</v>
      </c>
      <c r="D156" s="5" t="s">
        <v>564</v>
      </c>
      <c r="E156" s="5" t="s">
        <v>716</v>
      </c>
      <c r="H156" s="5" t="s">
        <v>37</v>
      </c>
      <c r="I156" s="5" t="s">
        <v>175</v>
      </c>
      <c r="J156" s="12">
        <v>573.1</v>
      </c>
      <c r="K156" s="12">
        <v>-356.4</v>
      </c>
      <c r="L156" s="12">
        <v>419.5</v>
      </c>
      <c r="M156" s="5" t="s">
        <v>565</v>
      </c>
    </row>
    <row r="157" spans="2:18" ht="12" hidden="1" customHeight="1" outlineLevel="1">
      <c r="B157" s="2" t="s">
        <v>413</v>
      </c>
      <c r="C157" s="4" t="s">
        <v>563</v>
      </c>
      <c r="D157" s="5" t="s">
        <v>566</v>
      </c>
      <c r="E157" s="5" t="s">
        <v>717</v>
      </c>
      <c r="H157" s="5" t="s">
        <v>46</v>
      </c>
      <c r="I157" s="5" t="s">
        <v>243</v>
      </c>
      <c r="J157" s="12">
        <v>0.88600000000000001</v>
      </c>
      <c r="K157" s="12">
        <v>-356.60599999999999</v>
      </c>
      <c r="L157" s="12">
        <v>77.769000000000005</v>
      </c>
      <c r="M157" s="5" t="s">
        <v>567</v>
      </c>
      <c r="O157" s="17"/>
    </row>
    <row r="158" spans="2:18" ht="12" hidden="1" customHeight="1" outlineLevel="1">
      <c r="B158" s="2" t="s">
        <v>413</v>
      </c>
      <c r="C158" s="4" t="s">
        <v>568</v>
      </c>
      <c r="D158" s="5" t="s">
        <v>569</v>
      </c>
      <c r="E158" s="5" t="s">
        <v>718</v>
      </c>
      <c r="H158" s="15" t="s">
        <v>46</v>
      </c>
      <c r="I158" s="5" t="s">
        <v>54</v>
      </c>
      <c r="J158" s="12">
        <v>0</v>
      </c>
      <c r="K158" s="12">
        <v>-383.17099999999999</v>
      </c>
      <c r="L158" s="12">
        <v>186.83</v>
      </c>
      <c r="M158" s="5" t="s">
        <v>570</v>
      </c>
      <c r="O158" s="17"/>
    </row>
    <row r="159" spans="2:18" ht="12" hidden="1" customHeight="1" outlineLevel="1">
      <c r="B159" s="2" t="s">
        <v>413</v>
      </c>
      <c r="C159" s="4" t="s">
        <v>571</v>
      </c>
      <c r="D159" s="5" t="s">
        <v>572</v>
      </c>
      <c r="E159" s="5" t="s">
        <v>719</v>
      </c>
      <c r="H159" s="15" t="s">
        <v>37</v>
      </c>
      <c r="I159" s="5" t="s">
        <v>573</v>
      </c>
      <c r="J159" s="12">
        <v>556.125</v>
      </c>
      <c r="K159" s="12">
        <v>-154.22399999999999</v>
      </c>
      <c r="L159" s="12">
        <v>143</v>
      </c>
      <c r="M159" s="5" t="s">
        <v>574</v>
      </c>
    </row>
    <row r="160" spans="2:18" ht="12" hidden="1" customHeight="1" outlineLevel="1">
      <c r="B160" s="2" t="s">
        <v>413</v>
      </c>
      <c r="C160" s="4" t="s">
        <v>575</v>
      </c>
      <c r="D160" s="5" t="s">
        <v>576</v>
      </c>
      <c r="E160" s="5" t="s">
        <v>720</v>
      </c>
      <c r="H160" s="5" t="s">
        <v>19</v>
      </c>
      <c r="I160" s="5" t="s">
        <v>26</v>
      </c>
      <c r="J160" s="12">
        <v>1287.4000000000001</v>
      </c>
      <c r="K160" s="12">
        <v>119.8</v>
      </c>
      <c r="L160" s="12">
        <v>93.2</v>
      </c>
      <c r="M160" s="5" t="s">
        <v>577</v>
      </c>
    </row>
    <row r="161" spans="2:13" ht="12" hidden="1" customHeight="1" outlineLevel="1">
      <c r="B161" s="2" t="s">
        <v>413</v>
      </c>
      <c r="C161" s="19">
        <v>45608</v>
      </c>
      <c r="D161" s="5" t="s">
        <v>578</v>
      </c>
      <c r="E161" s="5" t="s">
        <v>721</v>
      </c>
      <c r="H161" s="5" t="s">
        <v>46</v>
      </c>
      <c r="I161" s="5" t="s">
        <v>70</v>
      </c>
      <c r="J161" s="12">
        <v>2582</v>
      </c>
      <c r="K161" s="12">
        <v>473</v>
      </c>
      <c r="L161" s="12">
        <v>1480</v>
      </c>
      <c r="M161" s="5" t="s">
        <v>579</v>
      </c>
    </row>
    <row r="162" spans="2:13" ht="12" hidden="1" customHeight="1" outlineLevel="1">
      <c r="B162" s="34" t="s">
        <v>413</v>
      </c>
      <c r="C162" s="37" t="s">
        <v>580</v>
      </c>
      <c r="D162" s="33" t="s">
        <v>581</v>
      </c>
      <c r="E162" s="33" t="s">
        <v>722</v>
      </c>
      <c r="F162" s="42"/>
      <c r="G162" s="34"/>
      <c r="H162" s="33" t="s">
        <v>50</v>
      </c>
      <c r="I162" s="33" t="s">
        <v>54</v>
      </c>
      <c r="J162" s="35">
        <v>442.226</v>
      </c>
      <c r="K162" s="35">
        <v>59.173000000000002</v>
      </c>
      <c r="L162" s="35">
        <v>387.18299999999999</v>
      </c>
      <c r="M162" s="33" t="s">
        <v>582</v>
      </c>
    </row>
    <row r="163" spans="2:13" ht="12" customHeight="1" collapsed="1"/>
    <row r="166" spans="2:13" ht="12" customHeight="1">
      <c r="B166" s="22"/>
    </row>
    <row r="167" spans="2:13" ht="12" customHeight="1">
      <c r="B167" s="22"/>
      <c r="K167" s="23"/>
      <c r="M167" s="17"/>
    </row>
    <row r="168" spans="2:13" ht="12" customHeight="1">
      <c r="B168" s="22"/>
    </row>
    <row r="169" spans="2:13" ht="12" customHeight="1">
      <c r="B169" s="22"/>
    </row>
    <row r="170" spans="2:13" ht="12" customHeight="1">
      <c r="B170" s="22"/>
    </row>
    <row r="171" spans="2:13" ht="12" customHeight="1">
      <c r="B171" s="22"/>
    </row>
    <row r="172" spans="2:13" ht="12" customHeight="1">
      <c r="B172" s="22"/>
    </row>
    <row r="173" spans="2:13" ht="12" customHeight="1">
      <c r="B173" s="22"/>
      <c r="D173" s="6"/>
      <c r="E173" s="6"/>
      <c r="F173" s="6"/>
      <c r="G173" s="6"/>
    </row>
    <row r="174" spans="2:13" ht="12" customHeight="1">
      <c r="B174" s="22"/>
      <c r="D174" s="6"/>
      <c r="E174" s="6"/>
      <c r="F174" s="6"/>
      <c r="G174" s="6"/>
    </row>
    <row r="175" spans="2:13" ht="12" customHeight="1">
      <c r="B175" s="22"/>
      <c r="D175" s="6"/>
      <c r="E175" s="6"/>
      <c r="F175" s="6"/>
      <c r="G175" s="6"/>
      <c r="K175" s="23"/>
    </row>
    <row r="176" spans="2:13" ht="12" customHeight="1">
      <c r="B176" s="22"/>
      <c r="D176" s="6"/>
      <c r="E176" s="6"/>
      <c r="F176" s="6"/>
      <c r="G176" s="6"/>
    </row>
    <row r="177" spans="2:7" ht="12" customHeight="1">
      <c r="B177" s="22"/>
      <c r="D177" s="6"/>
      <c r="E177" s="6"/>
      <c r="F177" s="6"/>
      <c r="G177" s="6"/>
    </row>
    <row r="178" spans="2:7" ht="12" customHeight="1">
      <c r="B178" s="22"/>
      <c r="D178" s="6"/>
      <c r="E178" s="6"/>
      <c r="F178" s="6"/>
      <c r="G178" s="6"/>
    </row>
    <row r="179" spans="2:7" ht="12" customHeight="1">
      <c r="B179" s="22"/>
      <c r="D179" s="6"/>
      <c r="E179" s="6"/>
      <c r="F179" s="6"/>
      <c r="G179" s="6"/>
    </row>
    <row r="180" spans="2:7" ht="12" customHeight="1">
      <c r="B180" s="22"/>
      <c r="D180" s="6"/>
      <c r="E180" s="6"/>
      <c r="F180" s="6"/>
      <c r="G180" s="6"/>
    </row>
    <row r="181" spans="2:7" ht="12" customHeight="1">
      <c r="B181" s="22"/>
      <c r="D181" s="6"/>
      <c r="E181" s="6"/>
      <c r="F181" s="6"/>
      <c r="G181" s="6"/>
    </row>
    <row r="182" spans="2:7" ht="12" customHeight="1">
      <c r="B182" s="22"/>
      <c r="D182" s="6"/>
      <c r="E182" s="6"/>
      <c r="F182" s="6"/>
      <c r="G182" s="6"/>
    </row>
    <row r="183" spans="2:7" ht="12" customHeight="1">
      <c r="B183" s="22"/>
      <c r="D183" s="6"/>
      <c r="E183" s="6"/>
      <c r="F183" s="6"/>
      <c r="G183" s="6"/>
    </row>
    <row r="184" spans="2:7" ht="12" customHeight="1">
      <c r="B184" s="22"/>
      <c r="D184" s="6"/>
      <c r="E184" s="6"/>
      <c r="F184" s="6"/>
      <c r="G184" s="6"/>
    </row>
    <row r="185" spans="2:7" ht="12" customHeight="1">
      <c r="B185" s="22"/>
      <c r="D185" s="6"/>
      <c r="E185" s="6"/>
      <c r="F185" s="6"/>
      <c r="G185" s="6"/>
    </row>
    <row r="186" spans="2:7" ht="12" customHeight="1">
      <c r="B186" s="22"/>
      <c r="D186" s="6"/>
      <c r="E186" s="6"/>
      <c r="F186" s="6"/>
      <c r="G186" s="6"/>
    </row>
    <row r="187" spans="2:7" ht="12" customHeight="1">
      <c r="B187" s="22"/>
      <c r="D187" s="6"/>
      <c r="E187" s="6"/>
      <c r="F187" s="6"/>
      <c r="G187" s="6"/>
    </row>
    <row r="188" spans="2:7" ht="12" customHeight="1">
      <c r="B188" s="22"/>
      <c r="D188" s="6"/>
      <c r="E188" s="6"/>
      <c r="F188" s="6"/>
      <c r="G188" s="6"/>
    </row>
    <row r="189" spans="2:7" ht="12" customHeight="1">
      <c r="B189" s="22"/>
      <c r="D189" s="6"/>
      <c r="E189" s="6"/>
      <c r="F189" s="6"/>
      <c r="G189" s="6"/>
    </row>
    <row r="190" spans="2:7" ht="12" customHeight="1">
      <c r="B190" s="22"/>
      <c r="D190" s="6"/>
      <c r="E190" s="6"/>
      <c r="F190" s="6"/>
      <c r="G190" s="6"/>
    </row>
    <row r="191" spans="2:7" ht="12" customHeight="1">
      <c r="B191" s="22"/>
      <c r="D191" s="6"/>
      <c r="E191" s="6"/>
      <c r="F191" s="6"/>
      <c r="G191" s="6"/>
    </row>
    <row r="192" spans="2:7" ht="12" customHeight="1">
      <c r="B192" s="22"/>
    </row>
    <row r="193" spans="2:2" ht="12" customHeight="1">
      <c r="B193" s="22"/>
    </row>
    <row r="194" spans="2:2" ht="12" customHeight="1">
      <c r="B194" s="22"/>
    </row>
    <row r="195" spans="2:2" ht="12" customHeight="1">
      <c r="B195" s="22"/>
    </row>
    <row r="196" spans="2:2" ht="12" customHeight="1">
      <c r="B196" s="22"/>
    </row>
    <row r="197" spans="2:2" ht="12" customHeight="1">
      <c r="B197" s="22"/>
    </row>
    <row r="198" spans="2:2" ht="12" customHeight="1">
      <c r="B198" s="22"/>
    </row>
    <row r="199" spans="2:2" ht="12" customHeight="1">
      <c r="B199" s="22"/>
    </row>
    <row r="200" spans="2:2" ht="12" customHeight="1">
      <c r="B200" s="22"/>
    </row>
    <row r="201" spans="2:2" ht="12" customHeight="1">
      <c r="B201" s="22"/>
    </row>
    <row r="202" spans="2:2" ht="12" customHeight="1">
      <c r="B202" s="22"/>
    </row>
    <row r="203" spans="2:2" ht="12" customHeight="1">
      <c r="B203" s="22"/>
    </row>
    <row r="204" spans="2:2" ht="12" customHeight="1">
      <c r="B204" s="22"/>
    </row>
    <row r="205" spans="2:2" ht="12" customHeight="1">
      <c r="B205" s="22"/>
    </row>
    <row r="206" spans="2:2" ht="12" customHeight="1">
      <c r="B206" s="22"/>
    </row>
    <row r="207" spans="2:2" ht="12" customHeight="1">
      <c r="B207" s="22"/>
    </row>
    <row r="208" spans="2:2" ht="12" customHeight="1">
      <c r="B208" s="22"/>
    </row>
    <row r="209" spans="2:2" ht="12" customHeight="1">
      <c r="B209" s="22"/>
    </row>
    <row r="210" spans="2:2" ht="12" customHeight="1">
      <c r="B210" s="22"/>
    </row>
    <row r="211" spans="2:2" ht="12" customHeight="1">
      <c r="B211" s="22"/>
    </row>
    <row r="212" spans="2:2" ht="12" customHeight="1">
      <c r="B212" s="22"/>
    </row>
  </sheetData>
  <autoFilter ref="B2:N162" xr:uid="{00000000-0009-0000-0000-000000000000}"/>
  <phoneticPr fontId="6" type="noConversion"/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Diwen Tang</dc:creator>
  <cp:lastModifiedBy>Diwen Tang</cp:lastModifiedBy>
  <dcterms:created xsi:type="dcterms:W3CDTF">2026-03-02T07:03:46Z</dcterms:created>
  <dcterms:modified xsi:type="dcterms:W3CDTF">2026-03-06T09:35:30Z</dcterms:modified>
</cp:coreProperties>
</file>