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145" yWindow="345" windowWidth="27465" windowHeight="15240" tabRatio="600" firstSheet="0" activeTab="0" autoFilterDateGrouping="1"/>
  </bookViews>
  <sheets>
    <sheet xmlns:r="http://schemas.openxmlformats.org/officeDocument/2006/relationships" name="A1 Pipeline_Apr26" sheetId="1" state="visible" r:id="rId1"/>
  </sheets>
  <definedNames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  <definedName name="_xlnm._FilterDatabase" localSheetId="0" hidden="1">'A1 Pipeline_Apr26'!$B$2:$N$176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11"/>
    </font>
    <font>
      <name val="Arial"/>
      <family val="2"/>
      <color rgb="FFFF0000"/>
      <sz val="8"/>
    </font>
    <font>
      <name val="Arial"/>
      <family val="2"/>
      <sz val="8"/>
    </font>
    <font>
      <name val="Calibri"/>
      <family val="2"/>
      <color theme="10"/>
      <sz val="11"/>
      <u val="single"/>
      <scheme val="minor"/>
    </font>
    <font>
      <name val="Calibri"/>
      <charset val="134"/>
      <family val="3"/>
      <sz val="9"/>
      <scheme val="minor"/>
    </font>
    <font>
      <name val="Arial"/>
      <family val="2"/>
      <b val="1"/>
      <i val="1"/>
      <color theme="1"/>
      <sz val="8"/>
    </font>
    <font>
      <name val="Arial"/>
      <family val="2"/>
      <color theme="10"/>
      <sz val="8"/>
      <u val="single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1" fillId="0" borderId="0"/>
    <xf numFmtId="0" fontId="7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pivotButton="0" quotePrefix="0" xfId="2"/>
    <xf numFmtId="0" fontId="2" fillId="0" borderId="0" applyAlignment="1" pivotButton="0" quotePrefix="0" xfId="2">
      <alignment horizontal="center"/>
    </xf>
    <xf numFmtId="0" fontId="2" fillId="0" borderId="0" applyAlignment="1" pivotButton="0" quotePrefix="0" xfId="2">
      <alignment horizontal="left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wrapText="1"/>
    </xf>
    <xf numFmtId="0" fontId="3" fillId="2" borderId="0" applyAlignment="1" pivotButton="0" quotePrefix="0" xfId="2">
      <alignment horizontal="center" vertical="center" wrapText="1"/>
    </xf>
    <xf numFmtId="0" fontId="2" fillId="3" borderId="0" applyAlignment="1" pivotButton="0" quotePrefix="0" xfId="2">
      <alignment horizontal="left" vertical="center"/>
    </xf>
    <xf numFmtId="0" fontId="2" fillId="3" borderId="0" applyAlignment="1" pivotButton="0" quotePrefix="0" xfId="2">
      <alignment vertical="center"/>
    </xf>
    <xf numFmtId="0" fontId="2" fillId="3" borderId="0" applyAlignment="1" pivotButton="0" quotePrefix="0" xfId="2">
      <alignment horizontal="center" vertical="center"/>
    </xf>
    <xf numFmtId="39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left" vertical="center"/>
    </xf>
    <xf numFmtId="14" fontId="2" fillId="0" borderId="0" applyAlignment="1" pivotButton="0" quotePrefix="0" xfId="2">
      <alignment horizontal="left" vertical="center"/>
    </xf>
    <xf numFmtId="0" fontId="4" fillId="0" borderId="0" pivotButton="0" quotePrefix="0" xfId="2"/>
    <xf numFmtId="0" fontId="5" fillId="3" borderId="0" applyAlignment="1" pivotButton="0" quotePrefix="0" xfId="2">
      <alignment horizontal="left" vertical="center"/>
    </xf>
    <xf numFmtId="0" fontId="5" fillId="3" borderId="0" applyAlignment="1" pivotButton="0" quotePrefix="0" xfId="2">
      <alignment horizontal="center" vertical="center"/>
    </xf>
    <xf numFmtId="4" fontId="2" fillId="0" borderId="0" applyAlignment="1" pivotButton="0" quotePrefix="0" xfId="2">
      <alignment vertical="center"/>
    </xf>
    <xf numFmtId="0" fontId="5" fillId="3" borderId="0" applyAlignment="1" pivotButton="0" quotePrefix="0" xfId="2">
      <alignment vertical="center"/>
    </xf>
    <xf numFmtId="14" fontId="2" fillId="0" borderId="0" pivotButton="0" quotePrefix="0" xfId="2"/>
    <xf numFmtId="0" fontId="6" fillId="0" borderId="0" applyAlignment="1" pivotButton="0" quotePrefix="0" xfId="2">
      <alignment vertical="center"/>
    </xf>
    <xf numFmtId="0" fontId="6" fillId="0" borderId="0" applyAlignment="1" pivotButton="0" quotePrefix="0" xfId="2">
      <alignment horizontal="center" vertical="center"/>
    </xf>
    <xf numFmtId="4" fontId="2" fillId="0" borderId="0" pivotButton="0" quotePrefix="0" xfId="2"/>
    <xf numFmtId="4" fontId="2" fillId="0" borderId="0" applyAlignment="1" pivotButton="0" quotePrefix="0" xfId="2">
      <alignment horizontal="left" vertical="center"/>
    </xf>
    <xf numFmtId="0" fontId="5" fillId="4" borderId="0" pivotButton="0" quotePrefix="0" xfId="2"/>
    <xf numFmtId="14" fontId="2" fillId="0" borderId="0" applyAlignment="1" pivotButton="0" quotePrefix="0" xfId="2">
      <alignment horizontal="left"/>
    </xf>
    <xf numFmtId="14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right"/>
    </xf>
    <xf numFmtId="17" fontId="2" fillId="0" borderId="0" pivotButton="0" quotePrefix="0" xfId="2"/>
    <xf numFmtId="14" fontId="2" fillId="0" borderId="0" applyAlignment="1" pivotButton="0" quotePrefix="0" xfId="2">
      <alignment horizontal="right"/>
    </xf>
    <xf numFmtId="17" fontId="2" fillId="0" borderId="0" applyAlignment="1" pivotButton="0" quotePrefix="0" xfId="2">
      <alignment vertical="center"/>
    </xf>
    <xf numFmtId="0" fontId="9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left" vertical="center"/>
    </xf>
    <xf numFmtId="4" fontId="2" fillId="0" borderId="0" applyAlignment="1" pivotButton="0" quotePrefix="0" xfId="2">
      <alignment horizontal="left"/>
    </xf>
    <xf numFmtId="0" fontId="3" fillId="0" borderId="0" applyAlignment="1" pivotButton="0" quotePrefix="0" xfId="2">
      <alignment vertical="center"/>
    </xf>
    <xf numFmtId="4" fontId="3" fillId="0" borderId="0" applyAlignment="1" pivotButton="0" quotePrefix="0" xfId="2">
      <alignment vertical="center"/>
    </xf>
    <xf numFmtId="14" fontId="3" fillId="0" borderId="0" applyAlignment="1" pivotButton="0" quotePrefix="0" xfId="2">
      <alignment vertical="center"/>
    </xf>
    <xf numFmtId="0" fontId="10" fillId="0" borderId="0" applyAlignment="1" pivotButton="0" quotePrefix="0" xfId="3">
      <alignment vertical="center"/>
    </xf>
    <xf numFmtId="14" fontId="2" fillId="0" borderId="1" applyAlignment="1" pivotButton="0" quotePrefix="0" xfId="2">
      <alignment horizontal="left"/>
    </xf>
    <xf numFmtId="0" fontId="2" fillId="0" borderId="1" applyAlignment="1" pivotButton="0" quotePrefix="0" xfId="2">
      <alignment vertical="center"/>
    </xf>
    <xf numFmtId="0" fontId="2" fillId="0" borderId="1" pivotButton="0" quotePrefix="0" xfId="2"/>
    <xf numFmtId="39" fontId="2" fillId="0" borderId="1" applyAlignment="1" pivotButton="0" quotePrefix="0" xfId="2">
      <alignment horizontal="center" vertical="center"/>
    </xf>
    <xf numFmtId="0" fontId="3" fillId="0" borderId="2" applyAlignment="1" pivotButton="0" quotePrefix="0" xfId="2">
      <alignment horizontal="center"/>
    </xf>
    <xf numFmtId="0" fontId="2" fillId="0" borderId="1" applyAlignment="1" pivotButton="0" quotePrefix="0" xfId="2">
      <alignment horizontal="left"/>
    </xf>
    <xf numFmtId="0" fontId="3" fillId="0" borderId="1" applyAlignment="1" pivotButton="0" quotePrefix="0" xfId="2">
      <alignment horizontal="center" vertical="center"/>
    </xf>
    <xf numFmtId="3" fontId="2" fillId="0" borderId="0" pivotButton="0" quotePrefix="0" xfId="2"/>
    <xf numFmtId="0" fontId="2" fillId="0" borderId="1" applyAlignment="1" pivotButton="0" quotePrefix="0" xfId="2">
      <alignment horizontal="center"/>
    </xf>
    <xf numFmtId="0" fontId="2" fillId="0" borderId="0" pivotButton="0" quotePrefix="0" xfId="0"/>
    <xf numFmtId="37" fontId="2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left" vertical="center"/>
    </xf>
    <xf numFmtId="17" fontId="6" fillId="0" borderId="0" applyAlignment="1" pivotButton="0" quotePrefix="0" xfId="2">
      <alignment vertical="center"/>
    </xf>
    <xf numFmtId="0" fontId="6" fillId="0" borderId="0" applyAlignment="1" pivotButton="0" quotePrefix="0" xfId="2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2">
      <alignment vertical="center"/>
    </xf>
    <xf numFmtId="37" fontId="6" fillId="0" borderId="0" applyAlignment="1" pivotButton="0" quotePrefix="0" xfId="2">
      <alignment horizontal="center" vertical="center"/>
    </xf>
    <xf numFmtId="4" fontId="6" fillId="0" borderId="0" applyAlignment="1" pivotButton="0" quotePrefix="0" xfId="2">
      <alignment vertical="center"/>
    </xf>
    <xf numFmtId="14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/>
    </xf>
    <xf numFmtId="14" fontId="6" fillId="5" borderId="0" applyAlignment="1" pivotButton="0" quotePrefix="0" xfId="2">
      <alignment horizontal="left" vertical="center"/>
    </xf>
    <xf numFmtId="0" fontId="6" fillId="5" borderId="0" applyAlignment="1" pivotButton="0" quotePrefix="0" xfId="2">
      <alignment horizontal="left" vertical="center"/>
    </xf>
    <xf numFmtId="0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2"/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D77" authorId="0" shapeId="0">
      <text>
        <t>Author:
A-share listed.</t>
      </text>
    </comment>
    <comment ref="D78" authorId="0" shapeId="0">
      <text>
        <t>Author:
Vertical Specialist. One of the few biotechs dedicated solely to kidney diseases (dialysis &amp; chronic kidney disease).</t>
      </text>
    </comment>
    <comment ref="D83" authorId="0" shapeId="0">
      <text>
        <t>Author:
Not a traditional R&amp;D biotech; a commercialization bridge bringing global rare disease drugs to the Chinese market.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T216"/>
  <sheetViews>
    <sheetView showGridLines="0" tabSelected="1" zoomScaleNormal="100" workbookViewId="0">
      <selection activeCell="A1" sqref="A1"/>
    </sheetView>
  </sheetViews>
  <sheetFormatPr baseColWidth="8" defaultColWidth="8.6640625" defaultRowHeight="12" customHeight="1" outlineLevelRow="2"/>
  <cols>
    <col width="2.44140625" customWidth="1" style="2" min="1" max="1"/>
    <col hidden="1" outlineLevel="1" width="14.33203125" customWidth="1" style="2" min="2" max="2"/>
    <col collapsed="1" width="12.109375" customWidth="1" style="4" min="3" max="3"/>
    <col width="42.5546875" customWidth="1" style="5" min="4" max="4"/>
    <col width="31.109375" customWidth="1" style="5" min="5" max="5"/>
    <col width="11.77734375" customWidth="1" style="3" min="6" max="6"/>
    <col width="57" customWidth="1" style="2" min="7" max="7"/>
    <col width="14.109375" customWidth="1" style="5" min="8" max="8"/>
    <col width="14.109375" customWidth="1" style="2" min="9" max="9"/>
    <col width="15.44140625" customWidth="1" style="28" min="10" max="10"/>
    <col width="16.44140625" customWidth="1" style="28" min="11" max="11"/>
    <col width="13" customWidth="1" style="28" min="12" max="12"/>
    <col width="58.77734375" customWidth="1" style="2" min="13" max="13"/>
    <col width="42" bestFit="1" customWidth="1" style="2" min="14" max="14"/>
    <col width="19.6640625" customWidth="1" style="2" min="15" max="15"/>
    <col width="13" customWidth="1" style="2" min="16" max="16"/>
    <col width="10.77734375" customWidth="1" style="2" min="17" max="17"/>
    <col width="8.6640625" customWidth="1" style="2" min="18" max="18"/>
    <col width="8.6640625" customWidth="1" style="2" min="19" max="16384"/>
  </cols>
  <sheetData>
    <row r="1" ht="12" customHeight="1">
      <c r="A1" s="1" t="inlineStr">
        <is>
          <t>Updated as of Apr 7, 2026</t>
        </is>
      </c>
      <c r="J1" s="6" t="inlineStr">
        <is>
          <t>FY24</t>
        </is>
      </c>
      <c r="K1" s="6" t="inlineStr">
        <is>
          <t>FY24</t>
        </is>
      </c>
      <c r="L1" s="6" t="inlineStr">
        <is>
          <t>FY24</t>
        </is>
      </c>
    </row>
    <row r="2" ht="31.5" customFormat="1" customHeight="1" s="7">
      <c r="B2" s="8" t="inlineStr">
        <is>
          <t>Status</t>
        </is>
      </c>
      <c r="C2" s="8" t="inlineStr">
        <is>
          <t>Latest A1 Filing</t>
        </is>
      </c>
      <c r="D2" s="8" t="inlineStr">
        <is>
          <t>Company Name</t>
        </is>
      </c>
      <c r="E2" s="8" t="inlineStr">
        <is>
          <t xml:space="preserve"> Chinese Name</t>
        </is>
      </c>
      <c r="F2" s="8" t="inlineStr">
        <is>
          <t>Shareholder
Structure</t>
        </is>
      </c>
      <c r="G2" s="8" t="inlineStr">
        <is>
          <t>Busines model /
Clinical stage of core asset</t>
        </is>
      </c>
      <c r="H2" s="8" t="inlineStr">
        <is>
          <t>Sector</t>
        </is>
      </c>
      <c r="I2" s="8" t="inlineStr">
        <is>
          <t>Sponsor</t>
        </is>
      </c>
      <c r="J2" s="8" t="inlineStr">
        <is>
          <t>Latest FY Revenue (RMB m)</t>
        </is>
      </c>
      <c r="K2" s="8" t="inlineStr">
        <is>
          <t>Latest FY Net income (RMB m)</t>
        </is>
      </c>
      <c r="L2" s="8" t="inlineStr">
        <is>
          <t>Latest FYE Cash (RMB m)</t>
        </is>
      </c>
      <c r="M2" s="8" t="inlineStr">
        <is>
          <t>Lead Asset / business</t>
        </is>
      </c>
      <c r="N2" s="8" t="inlineStr">
        <is>
          <t>Highlights / Updates</t>
        </is>
      </c>
    </row>
    <row r="3" ht="12" customFormat="1" customHeight="1" s="54">
      <c r="A3" s="50" t="n"/>
      <c r="B3" s="51" t="n"/>
      <c r="C3" s="59" t="n">
        <v>46057</v>
      </c>
      <c r="D3" s="60" t="inlineStr">
        <is>
          <t>Binhui Biopharmaceutical Co., Ltd. - B</t>
        </is>
      </c>
      <c r="E3" s="58" t="inlineStr">
        <is>
          <t>武漢濱會生物科技股份有限公司</t>
        </is>
      </c>
      <c r="F3" s="6" t="inlineStr">
        <is>
          <t>H-share</t>
        </is>
      </c>
      <c r="G3" s="58" t="n"/>
      <c r="H3" s="61" t="inlineStr">
        <is>
          <t>Pharma / Biotech</t>
        </is>
      </c>
      <c r="I3" s="62" t="inlineStr">
        <is>
          <t>Huatai, CMBI, BOCI</t>
        </is>
      </c>
      <c r="J3" s="12" t="n">
        <v>1.725</v>
      </c>
      <c r="K3" s="12" t="n">
        <v>-113.146</v>
      </c>
      <c r="L3" s="12" t="n">
        <v>215.713</v>
      </c>
      <c r="M3" s="58" t="inlineStr">
        <is>
          <t>BS001 (OH2): Oncolytic Virus (HSV-2 based) for solid tumors (Phase II).</t>
        </is>
      </c>
      <c r="N3" s="58" t="inlineStr">
        <is>
          <t>FY24 data; H1 2025: Rev 0.14m, NI -44m, Cash 166m. FY25 full year not yet available.</t>
        </is>
      </c>
    </row>
    <row r="4" ht="12" customFormat="1" customHeight="1" s="54">
      <c r="A4" s="50" t="n"/>
      <c r="B4" s="51" t="n"/>
      <c r="C4" s="59" t="n">
        <v>46057</v>
      </c>
      <c r="D4" s="60" t="inlineStr">
        <is>
          <t>Shanghai Huilun Pharmaceutical Co., Ltd.</t>
        </is>
      </c>
      <c r="E4" s="5" t="inlineStr">
        <is>
          <t>上海汇伦医药股份有限公司</t>
        </is>
      </c>
      <c r="F4" s="6" t="inlineStr">
        <is>
          <t>H-share</t>
        </is>
      </c>
      <c r="G4" s="58" t="inlineStr">
        <is>
          <t>Commercial-stage; generic + innovative drugs, loss-making</t>
        </is>
      </c>
      <c r="H4" s="63" t="inlineStr">
        <is>
          <t>Pharma / Biotech</t>
        </is>
      </c>
      <c r="I4" s="63" t="inlineStr">
        <is>
          <t>CITIC Securities</t>
        </is>
      </c>
      <c r="J4" s="12" t="n">
        <v>686</v>
      </c>
      <c r="K4" s="12" t="n">
        <v>-174</v>
      </c>
      <c r="L4" s="12" t="n"/>
      <c r="M4" s="5" t="inlineStr">
        <is>
          <t>Generic drugs (ticagrelor, rivaroxaban, avanafil) + 4 Class I innovative drugs &amp; 3 Class II improved drugs in clinical development; focus on immunology, pain, oncology.</t>
        </is>
      </c>
      <c r="N4" s="64" t="inlineStr">
        <is>
          <t>A1 filed Apr 2, 2026; sole sponsor CITIC Securities; FY25 Rev 686m (flat YoY), net loss -174m (widened from -124m in FY24); gross margin ~83%; est. valuation RMB 3.4B.</t>
        </is>
      </c>
    </row>
    <row r="5" ht="12" customFormat="1" customHeight="1" s="54">
      <c r="A5" s="50" t="n"/>
      <c r="B5" s="51" t="n"/>
      <c r="C5" s="59" t="n">
        <v>46112</v>
      </c>
      <c r="D5" s="60" t="inlineStr">
        <is>
          <t>Shaanxi Micot Pharmaceutical Technology Co., Ltd. - B</t>
        </is>
      </c>
      <c r="E5" s="58" t="inlineStr">
        <is>
          <t>陝西麥科奧特醫藥科技股份有限公司</t>
        </is>
      </c>
      <c r="F5" s="6" t="inlineStr">
        <is>
          <t>H-share</t>
        </is>
      </c>
      <c r="G5" s="58" t="n"/>
      <c r="H5" s="61" t="inlineStr">
        <is>
          <t>Pharma / Biotech</t>
        </is>
      </c>
      <c r="I5" s="61" t="inlineStr">
        <is>
          <t>CCBI, CMS</t>
        </is>
      </c>
      <c r="J5" s="12" t="inlineStr">
        <is>
          <t>-</t>
        </is>
      </c>
      <c r="K5" s="12" t="n">
        <v>-156.832</v>
      </c>
      <c r="L5" s="12" t="n">
        <v>64.661</v>
      </c>
      <c r="M5" s="58" t="inlineStr">
        <is>
          <t>MT-1013: PTH1R analog for Hyperparathyroidism (Phase III).</t>
        </is>
      </c>
      <c r="N5" s="58" t="inlineStr">
        <is>
          <t>FY24 data (from Sep 2025 prospectus). Pre-revenue; FY25 not yet disclosed.</t>
        </is>
      </c>
    </row>
    <row r="6" ht="12" customFormat="1" customHeight="1" s="54">
      <c r="A6" s="50" t="n"/>
      <c r="B6" s="51" t="n"/>
      <c r="C6" s="59" t="n">
        <v>46112</v>
      </c>
      <c r="D6" s="60" t="inlineStr">
        <is>
          <t>Sirius Therapeutics - B</t>
        </is>
      </c>
      <c r="E6" s="5" t="inlineStr">
        <is>
          <t>靖因药业</t>
        </is>
      </c>
      <c r="F6" s="6" t="inlineStr">
        <is>
          <t>Red Chip</t>
        </is>
      </c>
      <c r="G6" s="58" t="inlineStr">
        <is>
          <t>Clinical-stage; siRNA therapeutics, pre-revenue</t>
        </is>
      </c>
      <c r="H6" s="63" t="inlineStr">
        <is>
          <t>Pharma / Biotech</t>
        </is>
      </c>
      <c r="I6" s="63" t="inlineStr">
        <is>
          <t>Goldman Sachs, Haitong Intl, HSBC</t>
        </is>
      </c>
      <c r="J6" s="12" t="n"/>
      <c r="K6" s="12" t="n">
        <v>-255</v>
      </c>
      <c r="L6" s="12" t="n">
        <v>1173</v>
      </c>
      <c r="M6" s="5" t="inlineStr">
        <is>
          <t>SRSD107 (FXI siRNA) - potentially first-in-class anticoagulant with 6-month sustained inhibition; Phase II in EU. Pipeline: SRSD216 (Lp(a)), SRSD384 (INHBE).</t>
        </is>
      </c>
      <c r="N6" s="64" t="inlineStr">
        <is>
          <t>Re-filed A1 Mar 31, 2026 (first filed Sep 2025); ~US$900m CRISPR deal (May 2025); FY25 other income RMB 232m; cash RMB 1.17B (~3yr runway; dual HQ San Diego + Shanghai.</t>
        </is>
      </c>
    </row>
    <row r="7" ht="12" customFormat="1" customHeight="1" s="54">
      <c r="A7" s="50" t="n"/>
      <c r="B7" s="51" t="n"/>
      <c r="C7" s="59" t="n">
        <v>46111</v>
      </c>
      <c r="D7" s="60" t="inlineStr">
        <is>
          <t>Cofoe Medical Technology Co., Ltd.</t>
        </is>
      </c>
      <c r="E7" s="5" t="inlineStr">
        <is>
          <t>可孚醫療科技股份有限公司</t>
        </is>
      </c>
      <c r="F7" s="6" t="inlineStr">
        <is>
          <t>H-share</t>
        </is>
      </c>
      <c r="G7" s="58" t="inlineStr">
        <is>
          <t>Commercialized. Home medical devices (Blood pressure monitors).</t>
        </is>
      </c>
      <c r="H7" s="63" t="inlineStr">
        <is>
          <t>Diagnostics / Tools</t>
        </is>
      </c>
      <c r="I7" s="63" t="inlineStr">
        <is>
          <t>Huatai, BNP Paribas</t>
        </is>
      </c>
      <c r="J7" s="12" t="n">
        <v>3387</v>
      </c>
      <c r="K7" s="12" t="n">
        <v>372</v>
      </c>
      <c r="L7" s="12" t="n">
        <v>2439</v>
      </c>
      <c r="M7" s="5" t="inlineStr">
        <is>
          <t xml:space="preserve">Home IVD &amp; devices (e.g., glucose meters). </t>
        </is>
      </c>
      <c r="N7" s="64" t="inlineStr">
        <is>
          <t>FY25 updated: Rev 33.87B, NI 372m (+19.2% YoY); Q4 Rev +34.8% YoY; GM 53.2%.</t>
        </is>
      </c>
    </row>
    <row r="8" ht="12" customFormat="1" customHeight="1" s="54">
      <c r="A8" s="50" t="n"/>
      <c r="B8" s="51" t="n"/>
      <c r="C8" s="59" t="n">
        <v>46108</v>
      </c>
      <c r="D8" s="60" t="inlineStr">
        <is>
          <t>IMPACT Therapeutics, Inc. - B</t>
        </is>
      </c>
      <c r="E8" s="58" t="inlineStr">
        <is>
          <t>南京英派藥業股份有限公司</t>
        </is>
      </c>
      <c r="F8" s="6" t="inlineStr">
        <is>
          <t>H-share</t>
        </is>
      </c>
      <c r="G8" s="58" t="inlineStr">
        <is>
          <t>Pre-commercial. Senaparib (PARP inhibitor) NDA accepted; Phase III completed.</t>
        </is>
      </c>
      <c r="H8" s="61" t="inlineStr">
        <is>
          <t>Pharma / Biotech</t>
        </is>
      </c>
      <c r="I8" s="61" t="inlineStr">
        <is>
          <t>GS, CICC</t>
        </is>
      </c>
      <c r="J8" s="12" t="n">
        <v>38</v>
      </c>
      <c r="K8" s="12" t="n">
        <v>-350</v>
      </c>
      <c r="L8" s="12" t="n">
        <v>230.122</v>
      </c>
      <c r="M8" s="58" t="inlineStr">
        <is>
          <t>Senaparib: PARP inhibitor for Ovarian/Prostate cancer (NDA).</t>
        </is>
      </c>
      <c r="N8" s="58" t="inlineStr">
        <is>
          <t>FY25 updated: Rev 38m (Senaparib approved Jan 2025), NI -350m (loss widened 12.5%); S&amp;D expense surged 291% on commercialization.</t>
        </is>
      </c>
    </row>
    <row r="9" ht="12" customFormat="1" customHeight="1" s="54">
      <c r="A9" s="50" t="n"/>
      <c r="B9" s="51" t="n"/>
      <c r="C9" s="59" t="n">
        <v>46106</v>
      </c>
      <c r="D9" s="60" t="inlineStr">
        <is>
          <t>Metis TechBio Co., Ltd. - P</t>
        </is>
      </c>
      <c r="E9" s="50" t="inlineStr">
        <is>
          <t>劑泰科技(北京)股份有限公司</t>
        </is>
      </c>
      <c r="F9" s="6" t="inlineStr">
        <is>
          <t>H-share</t>
        </is>
      </c>
      <c r="G9" s="58" t="inlineStr">
        <is>
          <t>Clinical/commercial-stage; AI-driven drug formulation &amp; delivery platform</t>
        </is>
      </c>
      <c r="H9" s="63" t="inlineStr">
        <is>
          <t>Pharma / Biotech</t>
        </is>
      </c>
      <c r="I9" s="5" t="inlineStr">
        <is>
          <t>Jefferies, Deutsche Bank, CITIC Securities</t>
        </is>
      </c>
      <c r="J9" s="12" t="n">
        <v>1</v>
      </c>
      <c r="K9" s="12" t="n">
        <v>-499</v>
      </c>
      <c r="L9" s="12" t="n"/>
      <c r="M9" s="5" t="inlineStr">
        <is>
          <t>MTS-004 (AI-designed formulation for PBA) - China's first AI-enabled drug to complete Phase III; mRNA nanodelivery platform; 26 patents.</t>
        </is>
      </c>
      <c r="N9" s="64" t="inlineStr">
        <is>
          <t>Filed A1 Mar 25, 2026 under Ch.18C; 9M25 Rev RMB 102m (vs FY24 ~1m), loss -247m; cumulative funding ~US$300m; MTS-004 Phase III met primary endpoint Oct 2025.</t>
        </is>
      </c>
    </row>
    <row r="10" ht="12" customFormat="1" customHeight="1" s="54">
      <c r="A10" s="50" t="n"/>
      <c r="B10" s="51" t="n"/>
      <c r="C10" s="59" t="n">
        <v>46104</v>
      </c>
      <c r="D10" s="60" t="inlineStr">
        <is>
          <t>Hangzhou Sciwind Biosciences Co., Ltd. - B</t>
        </is>
      </c>
      <c r="E10" s="58" t="inlineStr">
        <is>
          <t>杭州先為達生物科技股份有限公司</t>
        </is>
      </c>
      <c r="F10" s="6" t="inlineStr">
        <is>
          <t>H-share</t>
        </is>
      </c>
      <c r="G10" s="58" t="inlineStr">
        <is>
          <t>Phase 3, Ecnoglutide (XW003, GLP-1 analog)</t>
        </is>
      </c>
      <c r="H10" s="61" t="inlineStr">
        <is>
          <t>Pharma / Biotech</t>
        </is>
      </c>
      <c r="I10" s="61" t="inlineStr">
        <is>
          <t>MS, CICC</t>
        </is>
      </c>
      <c r="J10" s="12" t="n">
        <v>133</v>
      </c>
      <c r="K10" s="12" t="n">
        <v>-320</v>
      </c>
      <c r="L10" s="12" t="n">
        <v>639.772</v>
      </c>
      <c r="M10" s="58" t="inlineStr">
        <is>
          <t>Ecnoglutide (XW003): GLP-1 analog for Obesity/T2D (Phase III).</t>
        </is>
      </c>
      <c r="N10" s="58" t="inlineStr">
        <is>
          <t>FY25 updated: Rev 133m (from 0 in FY24, Pfizer deal Dec 2025); NI -320m (improved from -486m); Ecnoglutide approved T2DM Jan 2026 + obesity Mar 2026.</t>
        </is>
      </c>
    </row>
    <row r="11" ht="12" customFormat="1" customHeight="1" s="54">
      <c r="A11" s="50" t="n"/>
      <c r="B11" s="51" t="n"/>
      <c r="C11" s="59" t="n">
        <v>46101</v>
      </c>
      <c r="D11" s="60" t="inlineStr">
        <is>
          <t>Atom Therapeutics Co., Ltd. - B</t>
        </is>
      </c>
      <c r="E11" s="58" t="inlineStr">
        <is>
          <t>杭州新元素藥業股份有限公司</t>
        </is>
      </c>
      <c r="F11" s="6" t="inlineStr">
        <is>
          <t>H-share</t>
        </is>
      </c>
      <c r="G11" s="58" t="n"/>
      <c r="H11" s="61" t="inlineStr">
        <is>
          <t>Pharma / Biotech</t>
        </is>
      </c>
      <c r="I11" s="61" t="inlineStr">
        <is>
          <t>CITIC</t>
        </is>
      </c>
      <c r="J11" s="12" t="inlineStr">
        <is>
          <t>-</t>
        </is>
      </c>
      <c r="K11" s="12" t="n">
        <v>-434.059</v>
      </c>
      <c r="L11" s="12" t="n">
        <v>117.609</v>
      </c>
      <c r="M11" s="58" t="inlineStr">
        <is>
          <t>ABP-671: URAT1 inhibitor for Chronic Gout (Phase III).</t>
        </is>
      </c>
      <c r="N11" s="58" t="inlineStr">
        <is>
          <t>FY24 data; FY25 not yet disclosed. ABP-671 Phase 2b/3 positive topline Sep 2025; CMS commercialization deal Dec 2024.</t>
        </is>
      </c>
    </row>
    <row r="12" ht="12" customFormat="1" customHeight="1" s="54">
      <c r="A12" s="50" t="n"/>
      <c r="B12" s="51" t="n"/>
      <c r="C12" s="59" t="n">
        <v>46098</v>
      </c>
      <c r="D12" s="60" t="inlineStr">
        <is>
          <t>Shanghai Ark Biopharmaceutical Co., Ltd. - B</t>
        </is>
      </c>
      <c r="E12" s="58" t="inlineStr">
        <is>
          <t>上海愛科百發生物醫藥技術股份有限公司</t>
        </is>
      </c>
      <c r="F12" s="6" t="inlineStr">
        <is>
          <t>H-share</t>
        </is>
      </c>
      <c r="G12" s="58" t="n"/>
      <c r="H12" s="61" t="inlineStr">
        <is>
          <t>Pharma / Biotech</t>
        </is>
      </c>
      <c r="I12" s="61" t="inlineStr">
        <is>
          <t>JPM, CITIC</t>
        </is>
      </c>
      <c r="J12" s="12" t="n">
        <v>0</v>
      </c>
      <c r="K12" s="12" t="n">
        <v>-225</v>
      </c>
      <c r="L12" s="12" t="n">
        <v>97</v>
      </c>
      <c r="M12" s="58" t="inlineStr">
        <is>
          <t>Ziresovir: RSV F-protein inhibitor for infants (NDA filed).</t>
        </is>
      </c>
      <c r="N12" s="58" t="inlineStr">
        <is>
          <t>FY25 updated: Rev 0 (pre-revenue), NI -225m; Cash 97m (as of 6/30/2025); 3rd IPO attempt Mar 2026; Ziresovir NDA stage.</t>
        </is>
      </c>
    </row>
    <row r="13" ht="12" customFormat="1" customHeight="1" s="54">
      <c r="A13" s="50" t="n"/>
      <c r="B13" s="51" t="n"/>
      <c r="C13" s="59" t="n">
        <v>46093</v>
      </c>
      <c r="D13" s="60" t="inlineStr">
        <is>
          <t>Beijing Wehand-Bio Pharmaceutical Co., Ltd. - B</t>
        </is>
      </c>
      <c r="E13" s="58" t="inlineStr">
        <is>
          <t>北京五和博澳药业股份有限公司</t>
        </is>
      </c>
      <c r="F13" s="6" t="inlineStr">
        <is>
          <t>H-share</t>
        </is>
      </c>
      <c r="G13" s="58" t="inlineStr">
        <is>
          <t>Early commercial; Samborn approved for T2DM, 8 pipeline candidates</t>
        </is>
      </c>
      <c r="H13" s="48" t="inlineStr">
        <is>
          <t>Pharma / Biotech</t>
        </is>
      </c>
      <c r="I13" s="63" t="inlineStr">
        <is>
          <t>Huatai</t>
        </is>
      </c>
      <c r="J13" s="49" t="n">
        <v>208</v>
      </c>
      <c r="K13" s="49" t="n">
        <v>-110</v>
      </c>
      <c r="L13" s="49" t="n"/>
      <c r="M13" s="58" t="inlineStr">
        <is>
          <t>Samborn (桑博恩) - approved natural drug for Type 2 diabetes; metabolic and oncology pipeline.</t>
        </is>
      </c>
      <c r="N13" s="58" t="inlineStr">
        <is>
          <t>FY24 data; 9M25: Rev 207m, NI -45.7m (loss narrowing from FY24 -110m). Est. valuation RMB 4B.</t>
        </is>
      </c>
    </row>
    <row r="14" ht="12" customFormat="1" customHeight="1" s="54">
      <c r="A14" s="50" t="n"/>
      <c r="B14" s="51" t="n"/>
      <c r="C14" s="59" t="n">
        <v>46092</v>
      </c>
      <c r="D14" s="60" t="inlineStr">
        <is>
          <t>Medcaptain Medical Technology Co., Ltd.</t>
        </is>
      </c>
      <c r="E14" s="5" t="inlineStr">
        <is>
          <t>深圳麦科田生物医疗技术股份有限公司</t>
        </is>
      </c>
      <c r="F14" s="6" t="inlineStr">
        <is>
          <t>H-share</t>
        </is>
      </c>
      <c r="G14" s="58" t="inlineStr">
        <is>
          <t>Commercial-stage; profitable in FY2025, MedTech devices in 140+ countries</t>
        </is>
      </c>
      <c r="H14" s="63" t="inlineStr">
        <is>
          <t>MedTech</t>
        </is>
      </c>
      <c r="I14" s="63" t="inlineStr">
        <is>
          <t>Morgan Stanley, Huatai Intl</t>
        </is>
      </c>
      <c r="J14" s="12" t="n">
        <v>1619</v>
      </c>
      <c r="K14" s="12" t="n">
        <v>51</v>
      </c>
      <c r="L14" s="12" t="n"/>
      <c r="M14" s="5" t="inlineStr">
        <is>
          <t>Infusion workstations (#1 in China), minimally invasive endoscopes, IVD (blood grouping, TEG analyzers); 300+ products across 3 segments.</t>
        </is>
      </c>
      <c r="N14" s="64" t="inlineStr">
        <is>
          <t>First filed Sep 2025, re-filed Mar 2026; FY25 first-ever profit (NI RMB 51m vs FY24 loss -97m); Rev grew 15.7% to 1.62B; overseas rev 48.3%; covers 90% of China tier-3 hospitals.</t>
        </is>
      </c>
    </row>
    <row r="15" ht="12" customFormat="1" customHeight="1" s="54">
      <c r="A15" s="50" t="n"/>
      <c r="B15" s="51" t="n"/>
      <c r="C15" s="59" t="n">
        <v>46092</v>
      </c>
      <c r="D15" s="60" t="inlineStr">
        <is>
          <t>Shandong Hanfang Pharmaceutical Co., Ltd.</t>
        </is>
      </c>
      <c r="E15" s="58" t="inlineStr">
        <is>
          <t>山东汉方制药股份有限公司</t>
        </is>
      </c>
      <c r="F15" s="6" t="inlineStr">
        <is>
          <t>H-share</t>
        </is>
      </c>
      <c r="G15" s="58" t="inlineStr">
        <is>
          <t>Profitable; flagship TCM product contributes 99%+ of revenue, gross margin &gt;80%</t>
        </is>
      </c>
      <c r="H15" s="48" t="inlineStr">
        <is>
          <t>Pharma</t>
        </is>
      </c>
      <c r="I15" s="63" t="inlineStr">
        <is>
          <t>Zhongtai Intl</t>
        </is>
      </c>
      <c r="J15" s="49" t="n">
        <v>992</v>
      </c>
      <c r="K15" s="49" t="n">
        <v>198</v>
      </c>
      <c r="L15" s="49" t="n"/>
      <c r="M15" s="58" t="inlineStr">
        <is>
          <t>Compound Phellodendron Liquid (复方黄柏液涂剂) - external-use TCM for skin and mucosal diseases (#4 in China).</t>
        </is>
      </c>
      <c r="N15" s="58" t="inlineStr">
        <is>
          <t>FY24 data; 9M25: Rev 803m, NI 145m. Sole sponsor Zhongtai Intl.</t>
        </is>
      </c>
    </row>
    <row r="16" ht="12" customFormat="1" customHeight="1" s="54">
      <c r="A16" s="50" t="n"/>
      <c r="B16" s="51" t="n"/>
      <c r="C16" s="59" t="n">
        <v>46084</v>
      </c>
      <c r="D16" s="60" t="inlineStr">
        <is>
          <t>Star Sports Medicine Co., Ltd.</t>
        </is>
      </c>
      <c r="E16" s="58" t="inlineStr">
        <is>
          <t>北京天星醫療股份有限公司</t>
        </is>
      </c>
      <c r="F16" s="6" t="inlineStr">
        <is>
          <t>H-share</t>
        </is>
      </c>
      <c r="G16" s="58" t="inlineStr">
        <is>
          <t>Commercialized. Sports medicine devices (Anchors, arthroscopes).</t>
        </is>
      </c>
      <c r="H16" s="5" t="inlineStr">
        <is>
          <t>MedTech</t>
        </is>
      </c>
      <c r="I16" s="63" t="inlineStr">
        <is>
          <t>CITIC, CCBI</t>
        </is>
      </c>
      <c r="J16" s="12" t="n">
        <v>327.1</v>
      </c>
      <c r="K16" s="12" t="n">
        <v>95.40000000000001</v>
      </c>
      <c r="L16" s="12" t="n">
        <v>90</v>
      </c>
      <c r="M16" s="5" t="inlineStr">
        <is>
          <t>Arthroscopy &amp; sports-medicine implants.</t>
        </is>
      </c>
      <c r="N16" s="58" t="inlineStr">
        <is>
          <t>FY24 data; 9M25: Rev 273m (+23.9% YoY), NI 89.9m (+47.6% YoY). GM 73.8%. 2nd filing Mar 2026.</t>
        </is>
      </c>
    </row>
    <row r="17" ht="12" customFormat="1" customHeight="1" s="5">
      <c r="A17" s="58" t="n"/>
      <c r="B17" s="31" t="n"/>
      <c r="C17" s="57" t="n">
        <v>46025</v>
      </c>
      <c r="D17" s="58" t="inlineStr">
        <is>
          <t>Nanjing Novlead Biotechnology Co., Ltd. - B</t>
        </is>
      </c>
      <c r="E17" s="58" t="inlineStr">
        <is>
          <t>南京诺令生物科技股份有限公司</t>
        </is>
      </c>
      <c r="F17" s="6" t="inlineStr">
        <is>
          <t>H-share</t>
        </is>
      </c>
      <c r="G17" s="58" t="inlineStr">
        <is>
          <t>Commercial-stage; 5 approved iNO devices, loss-making</t>
        </is>
      </c>
      <c r="H17" s="48" t="inlineStr">
        <is>
          <t>MedTech</t>
        </is>
      </c>
      <c r="I17" s="5" t="inlineStr">
        <is>
          <t>CCBI</t>
        </is>
      </c>
      <c r="J17" s="49" t="n">
        <v>46</v>
      </c>
      <c r="K17" s="49" t="n">
        <v>-86</v>
      </c>
      <c r="L17" s="49" t="n">
        <v>69</v>
      </c>
      <c r="M17" s="58" t="inlineStr">
        <is>
          <t>iNOwill - electrochemical catalysis-based inhaled nitric oxide (iNO) therapy device for cardiopulmonary support and respiratory diagnostics.</t>
        </is>
      </c>
      <c r="N17" s="58" t="n"/>
    </row>
    <row r="18" ht="12" customFormat="1" customHeight="1" s="5">
      <c r="A18" s="58" t="n"/>
      <c r="B18" s="31" t="n"/>
      <c r="C18" s="58" t="inlineStr">
        <is>
          <t>27/02/2026</t>
        </is>
      </c>
      <c r="D18" s="58" t="inlineStr">
        <is>
          <t>Huge Dental Limited</t>
        </is>
      </c>
      <c r="E18" s="5" t="inlineStr">
        <is>
          <t>滬鴿口腔</t>
        </is>
      </c>
      <c r="F18" s="6" t="inlineStr">
        <is>
          <t>H-share</t>
        </is>
      </c>
      <c r="G18" s="58" t="inlineStr">
        <is>
          <t>Commercialized. Dental materials (Synthetic teeth, aligners).</t>
        </is>
      </c>
      <c r="H18" s="5" t="inlineStr">
        <is>
          <t>MedTech</t>
        </is>
      </c>
      <c r="I18" s="5" t="inlineStr">
        <is>
          <t>CICC, DBS</t>
        </is>
      </c>
      <c r="J18" s="49" t="n">
        <v>399.44</v>
      </c>
      <c r="K18" s="49" t="n">
        <v>80.568</v>
      </c>
      <c r="L18" s="49" t="n">
        <v>273.526</v>
      </c>
      <c r="M18" s="5" t="inlineStr">
        <is>
          <t>Dental impression materials &amp; resin teeth.</t>
        </is>
      </c>
      <c r="N18" s="2" t="inlineStr">
        <is>
          <t>Elastomeric impression materials for precise impressions for crowns, bridges; Resin teeth filling; temporary crowns, bridges resin; aligners</t>
        </is>
      </c>
    </row>
    <row r="19" ht="12" customFormat="1" customHeight="1" s="5">
      <c r="A19" s="58" t="n"/>
      <c r="B19" s="31" t="n"/>
      <c r="C19" s="58" t="inlineStr">
        <is>
          <t>25/02/2026</t>
        </is>
      </c>
      <c r="D19" s="58" t="inlineStr">
        <is>
          <t>Jinxin Eldercare Industry Group Limited</t>
        </is>
      </c>
      <c r="E19" s="58" t="inlineStr">
        <is>
          <t>锦欣康养产业集团有限公司</t>
        </is>
      </c>
      <c r="F19" s="17" t="inlineStr">
        <is>
          <t>Red Chip</t>
        </is>
      </c>
      <c r="G19" s="58" t="inlineStr">
        <is>
          <t>Profitable; #1 institutional eldercare in China, 2 consecutive years of profitability</t>
        </is>
      </c>
      <c r="H19" s="48" t="inlineStr">
        <is>
          <t>Services</t>
        </is>
      </c>
      <c r="I19" s="5" t="inlineStr">
        <is>
          <t>CICC, GF Securities</t>
        </is>
      </c>
      <c r="J19" s="49" t="n">
        <v>605</v>
      </c>
      <c r="K19" s="49" t="n">
        <v>40</v>
      </c>
      <c r="L19" s="49" t="n"/>
      <c r="M19" s="58" t="inlineStr">
        <is>
          <t>Medical-eldercare integrated services (医养结合) for high-age seniors (80+).</t>
        </is>
      </c>
      <c r="N19" s="58" t="n"/>
    </row>
    <row r="20" ht="12" customFormat="1" customHeight="1" s="5">
      <c r="A20" s="58" t="n"/>
      <c r="B20" s="31" t="n"/>
      <c r="C20" s="58" t="inlineStr">
        <is>
          <t>25/02/2026</t>
        </is>
      </c>
      <c r="D20" s="58" t="inlineStr">
        <is>
          <t>LongBio Pharma (Suzhou) Co., Ltd. - B</t>
        </is>
      </c>
      <c r="E20" s="58" t="inlineStr">
        <is>
          <t>天辰生物医药（苏州）股份有限公司</t>
        </is>
      </c>
      <c r="F20" s="6" t="inlineStr">
        <is>
          <t>H-share</t>
        </is>
      </c>
      <c r="G20" s="58" t="inlineStr">
        <is>
          <t>Clinical-stage; anti-IgE nanobody, BLA expected Q3 2026 (18A)</t>
        </is>
      </c>
      <c r="H20" s="48" t="inlineStr">
        <is>
          <t>Pharma / Biotech</t>
        </is>
      </c>
      <c r="I20" s="5" t="inlineStr">
        <is>
          <t>Sinolink</t>
        </is>
      </c>
      <c r="J20" s="49" t="inlineStr">
        <is>
          <t>-</t>
        </is>
      </c>
      <c r="K20" s="49" t="n">
        <v>-137</v>
      </c>
      <c r="L20" s="49" t="n"/>
      <c r="M20" s="58" t="inlineStr">
        <is>
          <t>LP-003 - anti-IgE nanobody for allergic rhinitis (SAR) and chronic spontaneous urticaria (CSU).</t>
        </is>
      </c>
      <c r="N20" s="58" t="n"/>
    </row>
    <row r="21" ht="12" customFormat="1" customHeight="1" s="5">
      <c r="A21" s="58" t="n"/>
      <c r="B21" s="31" t="n"/>
      <c r="C21" s="58" t="inlineStr">
        <is>
          <t>25/02/2026</t>
        </is>
      </c>
      <c r="D21" s="58" t="inlineStr">
        <is>
          <t>Suzhou Leadsynbio Technology Co., Ltd.</t>
        </is>
      </c>
      <c r="E21" s="58" t="inlineStr">
        <is>
          <t>苏州引航生物科技股份有限公司</t>
        </is>
      </c>
      <c r="F21" s="6" t="inlineStr">
        <is>
          <t>H-share</t>
        </is>
      </c>
      <c r="G21" s="58" t="inlineStr">
        <is>
          <t>Commercial-stage synthetic biology; florfenicol (global #2), loss-making</t>
        </is>
      </c>
      <c r="H21" s="48" t="inlineStr">
        <is>
          <t>CDMO</t>
        </is>
      </c>
      <c r="I21" s="5" t="inlineStr">
        <is>
          <t>Huatai</t>
        </is>
      </c>
      <c r="J21" s="49" t="n">
        <v>345</v>
      </c>
      <c r="K21" s="49" t="n">
        <v>-254</v>
      </c>
      <c r="L21" s="49" t="n">
        <v>70</v>
      </c>
      <c r="M21" s="58" t="inlineStr">
        <is>
          <t>Synthetic biology platform: florfenicol (global #2, 24.5% share), D-ethyl ester (global #1, 44.5%), NMN.</t>
        </is>
      </c>
      <c r="N21" s="58" t="n"/>
    </row>
    <row r="22" ht="12" customFormat="1" customHeight="1" s="5">
      <c r="A22" s="58" t="n"/>
      <c r="B22" s="31" t="n"/>
      <c r="C22" s="58" t="inlineStr">
        <is>
          <t>25/02/2026</t>
        </is>
      </c>
      <c r="D22" s="58" t="inlineStr">
        <is>
          <t>Zhejiang Jingxin Pharmaceutical Co., Ltd.</t>
        </is>
      </c>
      <c r="E22" s="58" t="inlineStr">
        <is>
          <t>浙江京新药业股份有限公司</t>
        </is>
      </c>
      <c r="F22" s="6" t="inlineStr">
        <is>
          <t>H-share</t>
        </is>
      </c>
      <c r="G22" s="58" t="inlineStr">
        <is>
          <t>Commercialized. A-share listed (SZ:002020), established CNS and cardiovascular pharma</t>
        </is>
      </c>
      <c r="H22" s="48" t="inlineStr">
        <is>
          <t>Pharma</t>
        </is>
      </c>
      <c r="I22" s="5" t="inlineStr">
        <is>
          <t>CITIC</t>
        </is>
      </c>
      <c r="J22" s="49" t="n">
        <v>4159</v>
      </c>
      <c r="K22" s="49" t="n">
        <v>712</v>
      </c>
      <c r="L22" s="49" t="n">
        <v>316</v>
      </c>
      <c r="M22" s="58" t="inlineStr">
        <is>
          <t>Diversified pharma: CNS and cardiovascular drugs; APIs (RMB 876mm), finished drugs (RMB 2,522mm), devices (RMB 687mm).</t>
        </is>
      </c>
      <c r="N22" s="58" t="n"/>
    </row>
    <row r="23" ht="12" customFormat="1" customHeight="1" s="5">
      <c r="A23" s="58" t="n"/>
      <c r="B23" s="31" t="n"/>
      <c r="C23" s="58" t="inlineStr">
        <is>
          <t>23/02/2026</t>
        </is>
      </c>
      <c r="D23" s="58" t="inlineStr">
        <is>
          <t>Hangzhou Tangji Medical Technology Co., Ltd. - B</t>
        </is>
      </c>
      <c r="E23" s="58" t="inlineStr">
        <is>
          <t>杭州糖吉医疗科技股份有限公司</t>
        </is>
      </c>
      <c r="F23" s="6" t="inlineStr">
        <is>
          <t>H-share</t>
        </is>
      </c>
      <c r="G23" s="58" t="inlineStr">
        <is>
          <t>Early commercial; gastric bypass stent approved Jan 2024, technically insolvent (18A)</t>
        </is>
      </c>
      <c r="H23" s="48" t="inlineStr">
        <is>
          <t>MedTech</t>
        </is>
      </c>
      <c r="I23" s="5" t="inlineStr">
        <is>
          <t>ICBC Intl, Caitong</t>
        </is>
      </c>
      <c r="J23" s="49" t="n">
        <v>13</v>
      </c>
      <c r="K23" s="49" t="n">
        <v>-66</v>
      </c>
      <c r="L23" s="49" t="n">
        <v>30</v>
      </c>
      <c r="M23" s="58" t="inlineStr">
        <is>
          <t>Gastric Bypass Stent System - world's first intestinal interventional device for obesity/T2DM/MAFLD.</t>
        </is>
      </c>
      <c r="N23" s="58" t="n"/>
    </row>
    <row r="24" ht="12" customFormat="1" customHeight="1" s="5">
      <c r="A24" s="58" t="n"/>
      <c r="B24" s="31" t="n"/>
      <c r="C24" s="58" t="inlineStr">
        <is>
          <t>13/02/2026</t>
        </is>
      </c>
      <c r="D24" s="58" t="inlineStr">
        <is>
          <t>ProteLight Pharmaceuticals (Jiangsu) Co., Ltd. - B</t>
        </is>
      </c>
      <c r="E24" s="58" t="inlineStr">
        <is>
          <t>普莱医药（江苏）股份有限公司</t>
        </is>
      </c>
      <c r="F24" s="6" t="inlineStr">
        <is>
          <t>H-share</t>
        </is>
      </c>
      <c r="G24" s="58" t="inlineStr">
        <is>
          <t>NDA-stage; PL-5 antimicrobial peptide NDA filed, partnered with Chia Tai Tianqing (18A)</t>
        </is>
      </c>
      <c r="H24" s="48" t="inlineStr">
        <is>
          <t>Pharma / Biotech</t>
        </is>
      </c>
      <c r="I24" s="5" t="inlineStr">
        <is>
          <t>CITIC</t>
        </is>
      </c>
      <c r="J24" s="49" t="n">
        <v>5</v>
      </c>
      <c r="K24" s="49" t="n">
        <v>-158</v>
      </c>
      <c r="L24" s="49" t="n"/>
      <c r="M24" s="58" t="inlineStr">
        <is>
          <t>PL-5 (Peceleganan) - first-in-class antimicrobial peptide for wound infections; NDA filed to NMPA.</t>
        </is>
      </c>
      <c r="N24" s="58" t="n"/>
    </row>
    <row r="25" ht="12" customFormat="1" customHeight="1" s="5">
      <c r="A25" s="58" t="n"/>
      <c r="B25" s="31" t="n"/>
      <c r="C25" s="58" t="inlineStr">
        <is>
          <t>13/02/2026</t>
        </is>
      </c>
      <c r="D25" s="58" t="inlineStr">
        <is>
          <t>Shenzhen Immunofoco Biotechnology Co., Ltd. - B</t>
        </is>
      </c>
      <c r="E25" s="58" t="inlineStr">
        <is>
          <t>深圳易慕峰生物科技股份有限公司</t>
        </is>
      </c>
      <c r="F25" s="6" t="inlineStr">
        <is>
          <t>H-share</t>
        </is>
      </c>
      <c r="G25" s="58" t="inlineStr">
        <is>
          <t>Clinical-stage; CLDN18.2 CAR-T in pivotal Phase 3 for solid tumors (18A)</t>
        </is>
      </c>
      <c r="H25" s="48" t="inlineStr">
        <is>
          <t>Pharma / Biotech</t>
        </is>
      </c>
      <c r="I25" s="5" t="inlineStr">
        <is>
          <t>Huatai</t>
        </is>
      </c>
      <c r="J25" s="49" t="inlineStr">
        <is>
          <t>-</t>
        </is>
      </c>
      <c r="K25" s="49" t="n">
        <v>-71</v>
      </c>
      <c r="L25" s="49" t="n">
        <v>140</v>
      </c>
      <c r="M25" s="58" t="inlineStr">
        <is>
          <t>IMC002 - anti-CLDN18.2 CAR-T for gastric/pancreatic cancer (FDA Orphan Drug + Fast Track).</t>
        </is>
      </c>
      <c r="N25" s="58" t="n"/>
    </row>
    <row r="26" ht="12" customFormat="1" customHeight="1" s="5">
      <c r="A26" s="58" t="n"/>
      <c r="B26" s="31" t="n"/>
      <c r="C26" s="58" t="inlineStr">
        <is>
          <t>13/02/2026</t>
        </is>
      </c>
      <c r="D26" s="58" t="inlineStr">
        <is>
          <t>VivaVision Biotech (Zhejiang) Co., Ltd. - B</t>
        </is>
      </c>
      <c r="E26" s="58" t="inlineStr">
        <is>
          <t>维眸生物科技（浙江）股份有限公司</t>
        </is>
      </c>
      <c r="F26" s="6" t="inlineStr">
        <is>
          <t>H-share</t>
        </is>
      </c>
      <c r="G26" s="58" t="inlineStr">
        <is>
          <t>Clinical-stage; two core ophthalmology drugs in Phase 3, pre-revenue (18A)</t>
        </is>
      </c>
      <c r="H26" s="48" t="inlineStr">
        <is>
          <t>Pharma / Biotech</t>
        </is>
      </c>
      <c r="I26" s="5" t="inlineStr">
        <is>
          <t>CICC</t>
        </is>
      </c>
      <c r="J26" s="49" t="inlineStr">
        <is>
          <t>-</t>
        </is>
      </c>
      <c r="K26" s="49" t="n">
        <v>-202</v>
      </c>
      <c r="L26" s="49" t="n"/>
      <c r="M26" s="58" t="inlineStr">
        <is>
          <t>Phase 3 ophthalmology drugs for non-infectious anterior uveitis and dry eye disease.</t>
        </is>
      </c>
      <c r="N26" s="58" t="n"/>
    </row>
    <row r="27" ht="12" customFormat="1" customHeight="1" s="5">
      <c r="A27" s="58" t="n"/>
      <c r="B27" s="31" t="n"/>
      <c r="C27" s="57" t="n">
        <v>46358</v>
      </c>
      <c r="D27" s="58" t="inlineStr">
        <is>
          <t>Shenzhen Salubris Pharmaceuticals Co., Ltd.</t>
        </is>
      </c>
      <c r="E27" s="58" t="inlineStr">
        <is>
          <t>深圳信立泰药业股份有限公司</t>
        </is>
      </c>
      <c r="F27" s="6" t="inlineStr">
        <is>
          <t>H-share</t>
        </is>
      </c>
      <c r="G27" s="58" t="inlineStr">
        <is>
          <t>Commercialized. A-share listed (SZ:002294), 6 innovative drugs approved, cardiovascular focus</t>
        </is>
      </c>
      <c r="H27" s="48" t="inlineStr">
        <is>
          <t>Pharma</t>
        </is>
      </c>
      <c r="I27" s="5" t="inlineStr">
        <is>
          <t>GS, Citi, CITIC</t>
        </is>
      </c>
      <c r="J27" s="49" t="n">
        <v>4012</v>
      </c>
      <c r="K27" s="49" t="n">
        <v>602</v>
      </c>
      <c r="L27" s="49" t="n">
        <v>1322</v>
      </c>
      <c r="M27" s="58" t="inlineStr">
        <is>
          <t>Cardiovascular-renal-metabolic franchise: Salubristat, Furelistat, Salubrixin, Ennaro (6 innovative drugs).</t>
        </is>
      </c>
      <c r="N27" s="58" t="n"/>
    </row>
    <row r="28" ht="12" customFormat="1" customHeight="1" s="5">
      <c r="A28" s="58" t="n"/>
      <c r="B28" s="31" t="n"/>
      <c r="C28" s="57" t="n">
        <v>46358</v>
      </c>
      <c r="D28" s="58" t="inlineStr">
        <is>
          <t>Sirio Pharma Co., Ltd.</t>
        </is>
      </c>
      <c r="E28" s="58" t="inlineStr">
        <is>
          <t>仙乐健康科技股份有限公司</t>
        </is>
      </c>
      <c r="F28" s="6" t="inlineStr">
        <is>
          <t>H-share</t>
        </is>
      </c>
      <c r="G28" s="58" t="inlineStr">
        <is>
          <t>Commercialized. A-share listed (SZ:300791), global CDMO/ODM for nutritional supplements</t>
        </is>
      </c>
      <c r="H28" s="48" t="inlineStr">
        <is>
          <t>Consumer Health</t>
        </is>
      </c>
      <c r="I28" s="5" t="inlineStr">
        <is>
          <t>CITIC</t>
        </is>
      </c>
      <c r="J28" s="49" t="n">
        <v>4211</v>
      </c>
      <c r="K28" s="49" t="n">
        <v>325</v>
      </c>
      <c r="L28" s="49" t="n">
        <v>636</v>
      </c>
      <c r="M28" s="58" t="inlineStr">
        <is>
          <t>Global nutritional health food CDMO (softgels, gummies, probiotics, tablets); ~60% revenue overseas.</t>
        </is>
      </c>
      <c r="N28" s="58" t="n"/>
    </row>
    <row r="29" ht="12" customFormat="1" customHeight="1" s="5">
      <c r="A29" s="58" t="n"/>
      <c r="B29" s="31" t="n"/>
      <c r="C29" s="57" t="n">
        <v>46328</v>
      </c>
      <c r="D29" s="58" t="inlineStr">
        <is>
          <t>PANACRO (Hangzhou) Pharmaceutical Technology Co., Ltd.</t>
        </is>
      </c>
      <c r="E29" s="58" t="inlineStr">
        <is>
          <t>博纳西亚（杭州）医药科技股份有限公司</t>
        </is>
      </c>
      <c r="F29" s="6" t="inlineStr">
        <is>
          <t>H-share</t>
        </is>
      </c>
      <c r="G29" s="58" t="inlineStr">
        <is>
          <t>Profitable; clinical CRO specializing in oncology and autoimmune diseases</t>
        </is>
      </c>
      <c r="H29" s="48" t="inlineStr">
        <is>
          <t>Services</t>
        </is>
      </c>
      <c r="I29" s="5" t="inlineStr">
        <is>
          <t>Ind. Sec. Intl, ICBC Intl</t>
        </is>
      </c>
      <c r="J29" s="49" t="n">
        <v>340</v>
      </c>
      <c r="K29" s="49" t="n">
        <v>67</v>
      </c>
      <c r="L29" s="49" t="n">
        <v>111</v>
      </c>
      <c r="M29" s="58" t="inlineStr">
        <is>
          <t>Clinical CRO: digitally-empowered innovative drug clinical research, oncology and autoimmune focus.</t>
        </is>
      </c>
      <c r="N29" s="58" t="n"/>
    </row>
    <row r="30" ht="12" customFormat="1" customHeight="1" s="5">
      <c r="A30" s="58" t="n"/>
      <c r="B30" s="31" t="n"/>
      <c r="C30" s="57" t="n">
        <v>46144</v>
      </c>
      <c r="D30" s="58" t="inlineStr">
        <is>
          <t>Dizal Pharmaceutical Co., Ltd.</t>
        </is>
      </c>
      <c r="E30" s="58" t="inlineStr">
        <is>
          <t>迪哲（江苏）医药股份有限公司</t>
        </is>
      </c>
      <c r="F30" s="6" t="inlineStr">
        <is>
          <t>H-share</t>
        </is>
      </c>
      <c r="G30" s="58" t="inlineStr">
        <is>
          <t>Commercial-stage. STAR Market listed (688192), Suvotinib approved in China &amp; US for NSCLC</t>
        </is>
      </c>
      <c r="H30" s="48" t="inlineStr">
        <is>
          <t>Pharma / Biotech</t>
        </is>
      </c>
      <c r="I30" s="5" t="inlineStr">
        <is>
          <t>GS, Huatai</t>
        </is>
      </c>
      <c r="J30" s="49" t="n">
        <v>360</v>
      </c>
      <c r="K30" s="49" t="n">
        <v>-846</v>
      </c>
      <c r="L30" s="49" t="n">
        <v>840</v>
      </c>
      <c r="M30" s="58" t="inlineStr">
        <is>
          <t>Suvotinib (EGFR Exon20ins NSCLC, approved China &amp; US) and Golotinib (JAK1 for PTCL).</t>
        </is>
      </c>
      <c r="N30" s="58" t="n"/>
    </row>
    <row r="31" ht="12" customFormat="1" customHeight="1" s="5">
      <c r="A31" s="58" t="n"/>
      <c r="B31" s="31" t="n"/>
      <c r="C31" s="57" t="n">
        <v>46144</v>
      </c>
      <c r="D31" s="58" t="inlineStr">
        <is>
          <t>Knature Biopharmaceutical Co., Ltd</t>
        </is>
      </c>
      <c r="E31" s="58" t="inlineStr">
        <is>
          <t>康诺生物制药股份有限公司</t>
        </is>
      </c>
      <c r="F31" s="6" t="inlineStr">
        <is>
          <t>H-share</t>
        </is>
      </c>
      <c r="G31" s="58" t="inlineStr">
        <is>
          <t>Commercialized; 20 drugs including flagship NAD+ therapeutic Enaide</t>
        </is>
      </c>
      <c r="H31" s="48" t="inlineStr">
        <is>
          <t>Pharma</t>
        </is>
      </c>
      <c r="I31" s="5" t="inlineStr">
        <is>
          <t>SDIC Intl</t>
        </is>
      </c>
      <c r="J31" s="49" t="n">
        <v>240</v>
      </c>
      <c r="K31" s="49" t="n">
        <v>34</v>
      </c>
      <c r="L31" s="49" t="n"/>
      <c r="M31" s="58" t="inlineStr">
        <is>
          <t>Enaide (恩艾地, Coenzyme I Injection) - only domestically developed and globally approved NAD+ drug.</t>
        </is>
      </c>
      <c r="N31" s="58" t="n"/>
    </row>
    <row r="32" ht="12" customFormat="1" customHeight="1" s="5">
      <c r="A32" s="58" t="n"/>
      <c r="B32" s="31" t="n"/>
      <c r="C32" s="57" t="n">
        <v>46083</v>
      </c>
      <c r="D32" s="58" t="inlineStr">
        <is>
          <t>TenNor Therapeutics (Suzhou) Limited - B</t>
        </is>
      </c>
      <c r="E32" s="58" t="inlineStr">
        <is>
          <t>丹諾醫藥（蘇州）股份有限公司 - B</t>
        </is>
      </c>
      <c r="F32" s="6" t="inlineStr">
        <is>
          <t>H-share</t>
        </is>
      </c>
      <c r="G32" s="58" t="inlineStr">
        <is>
          <t>Clinical-stage; anti-H. pylori antibiotic rifaternidazole Ph3 completed, NDA planned; TNP-2092 multi-target antibiotic</t>
        </is>
      </c>
      <c r="H32" s="48" t="inlineStr">
        <is>
          <t>Pharma / Biotech</t>
        </is>
      </c>
      <c r="I32" s="5" t="inlineStr">
        <is>
          <t>CITIC, ABCI</t>
        </is>
      </c>
      <c r="J32" s="49" t="n">
        <v>0</v>
      </c>
      <c r="K32" s="49" t="n">
        <v>-145.9</v>
      </c>
      <c r="L32" s="49" t="n">
        <v>97.8</v>
      </c>
      <c r="M32" s="58" t="inlineStr">
        <is>
          <t>Multi-target antibiotic TNP-2092.</t>
        </is>
      </c>
      <c r="N32" s="58" t="n"/>
    </row>
    <row r="33" ht="12" customFormat="1" customHeight="1" s="5">
      <c r="A33" s="58" t="n"/>
      <c r="B33" s="31" t="n"/>
      <c r="C33" s="57" t="n">
        <v>46055</v>
      </c>
      <c r="D33" s="58" t="inlineStr">
        <is>
          <t>PrimeGenX Therapeutics Co., Ltd. - B</t>
        </is>
      </c>
      <c r="E33" s="58" t="inlineStr">
        <is>
          <t>北京普祺医药科技股份有限公司</t>
        </is>
      </c>
      <c r="F33" s="6" t="inlineStr">
        <is>
          <t>H-share</t>
        </is>
      </c>
      <c r="G33" s="58" t="inlineStr">
        <is>
          <t>Clinical-stage; PG-011 (JAK/ROCK inhibitor) completed Phase 3 for atopic dermatitis (18A)</t>
        </is>
      </c>
      <c r="H33" s="48" t="inlineStr">
        <is>
          <t>Pharma / Biotech</t>
        </is>
      </c>
      <c r="I33" s="5" t="inlineStr">
        <is>
          <t>CITIC, MinYin</t>
        </is>
      </c>
      <c r="J33" s="49" t="inlineStr">
        <is>
          <t>-</t>
        </is>
      </c>
      <c r="K33" s="49" t="n">
        <v>-178</v>
      </c>
      <c r="L33" s="49" t="n">
        <v>150</v>
      </c>
      <c r="M33" s="58" t="inlineStr">
        <is>
          <t>PG-011 (Pumeicitinib) - first-in-class topical JAK/ROCK dual-target inhibitor for AD and allergic rhinitis.</t>
        </is>
      </c>
      <c r="N33" s="58" t="n"/>
    </row>
    <row r="34" ht="12" customFormat="1" customHeight="1" s="5">
      <c r="A34" s="58" t="n"/>
      <c r="B34" s="31" t="n"/>
      <c r="C34" s="58" t="inlineStr">
        <is>
          <t>30/01/2026</t>
        </is>
      </c>
      <c r="D34" s="58" t="inlineStr">
        <is>
          <t>Zenshine Pharmaceuticals (Nanjing) Group Co., Ltd. - B</t>
        </is>
      </c>
      <c r="E34" s="58" t="inlineStr">
        <is>
          <t>征祥医药（南京）集团股份有限公司</t>
        </is>
      </c>
      <c r="F34" s="6" t="inlineStr">
        <is>
          <t>H-share</t>
        </is>
      </c>
      <c r="G34" s="58" t="inlineStr">
        <is>
          <t>Early commercial; Marceloxavir for influenza approved Jul 2025, minimal revenue</t>
        </is>
      </c>
      <c r="H34" s="48" t="inlineStr">
        <is>
          <t>Pharma / Biotech</t>
        </is>
      </c>
      <c r="I34" s="5" t="inlineStr">
        <is>
          <t>CICC</t>
        </is>
      </c>
      <c r="J34" s="49" t="inlineStr">
        <is>
          <t>-</t>
        </is>
      </c>
      <c r="K34" s="49" t="n">
        <v>-145</v>
      </c>
      <c r="L34" s="49" t="n">
        <v>270</v>
      </c>
      <c r="M34" s="58" t="inlineStr">
        <is>
          <t>Marceloxavir (玛硒洛沙韦, 济可舒) - PA endonuclease inhibitor for adult influenza, approved Jul 2025.</t>
        </is>
      </c>
      <c r="N34" s="58" t="n"/>
    </row>
    <row r="35" ht="12" customFormat="1" customHeight="1" s="5">
      <c r="A35" s="58" t="n"/>
      <c r="B35" s="31" t="n"/>
      <c r="C35" s="58" t="inlineStr">
        <is>
          <t>29/01/2026</t>
        </is>
      </c>
      <c r="D35" s="58" t="inlineStr">
        <is>
          <t>Suzhou GenHouse Bio Co., Ltd. - B</t>
        </is>
      </c>
      <c r="E35" s="58" t="inlineStr">
        <is>
          <t>勤浩醫藥（蘇州）股份有限公司</t>
        </is>
      </c>
      <c r="F35" s="6" t="inlineStr">
        <is>
          <t>H-share</t>
        </is>
      </c>
      <c r="G35" s="58" t="inlineStr">
        <is>
          <t>Clinical-stage; KRAS small molecule inhibitors for oncology; GH21 SHP2 inhibitor out-licensed to multinational</t>
        </is>
      </c>
      <c r="H35" s="48" t="inlineStr">
        <is>
          <t>Pharma / Biotech</t>
        </is>
      </c>
      <c r="I35" s="18" t="inlineStr">
        <is>
          <t>Huatai</t>
        </is>
      </c>
      <c r="J35" s="49" t="n">
        <v>4.69</v>
      </c>
      <c r="K35" s="49" t="n">
        <v>-151.775</v>
      </c>
      <c r="L35" s="49" t="n">
        <v>24.773</v>
      </c>
      <c r="M35" s="58" t="inlineStr">
        <is>
          <t>Oncology: Small molecule inhibitors targeting KRAS and SHP2 pathways.</t>
        </is>
      </c>
      <c r="N35" s="58" t="n"/>
    </row>
    <row r="36" ht="12" customFormat="1" customHeight="1" s="5">
      <c r="A36" s="58" t="n"/>
      <c r="B36" s="31" t="n"/>
      <c r="C36" s="58" t="inlineStr">
        <is>
          <t>29/01/2026</t>
        </is>
      </c>
      <c r="D36" s="58" t="inlineStr">
        <is>
          <t>Tyligand Bioscience Ltd. - B</t>
        </is>
      </c>
      <c r="E36" s="58" t="inlineStr">
        <is>
          <t>泰励生物有限公司</t>
        </is>
      </c>
      <c r="F36" s="17" t="inlineStr">
        <is>
          <t>Red Chip</t>
        </is>
      </c>
      <c r="G36" s="58" t="inlineStr">
        <is>
          <t>Clinical-stage; KRAS G12D inhibitor in Phase 2, pre-revenue (18A)</t>
        </is>
      </c>
      <c r="H36" s="48" t="inlineStr">
        <is>
          <t>Pharma / Biotech</t>
        </is>
      </c>
      <c r="I36" s="5" t="inlineStr">
        <is>
          <t>CITIC</t>
        </is>
      </c>
      <c r="J36" s="49" t="n">
        <v>8</v>
      </c>
      <c r="K36" s="49" t="n">
        <v>-70</v>
      </c>
      <c r="L36" s="49" t="n">
        <v>188</v>
      </c>
      <c r="M36" s="58" t="inlineStr">
        <is>
          <t>TSN1611 - highly selective oral KRAS G12D inhibitor for solid tumors (Phase 2 China &amp; US); ADC pipeline.</t>
        </is>
      </c>
      <c r="N36" s="58" t="n"/>
    </row>
    <row r="37" ht="12" customFormat="1" customHeight="1" s="5">
      <c r="A37" s="58" t="n"/>
      <c r="B37" s="31" t="n"/>
      <c r="C37" s="58" t="inlineStr">
        <is>
          <t>27/01/2026</t>
        </is>
      </c>
      <c r="D37" s="58" t="inlineStr">
        <is>
          <t>Harbin Yuyantang Traditional Chinese Medicine Outpatient Group Co., Ltd.</t>
        </is>
      </c>
      <c r="E37" s="58" t="inlineStr">
        <is>
          <t>哈爾濱譽研堂中醫門診集團股份有限公司</t>
        </is>
      </c>
      <c r="F37" s="6" t="inlineStr">
        <is>
          <t>H-share</t>
        </is>
      </c>
      <c r="G37" s="58" t="inlineStr">
        <is>
          <t>Commercialized; TCM outpatient clinic chain in Harbin/NE China, profitable</t>
        </is>
      </c>
      <c r="H37" s="48" t="inlineStr">
        <is>
          <t>Services (TCM)</t>
        </is>
      </c>
      <c r="I37" s="5" t="inlineStr">
        <is>
          <t>CMBI, Guoyuan</t>
        </is>
      </c>
      <c r="J37" s="49" t="n">
        <v>215.2</v>
      </c>
      <c r="K37" s="49" t="n">
        <v>27.08</v>
      </c>
      <c r="L37" s="49" t="n">
        <v>54.441</v>
      </c>
      <c r="M37" s="58" t="inlineStr">
        <is>
          <t>TCM Clinics</t>
        </is>
      </c>
      <c r="N37" s="58" t="n"/>
    </row>
    <row r="38" ht="12" customFormat="1" customHeight="1" s="5">
      <c r="A38" s="58" t="n"/>
      <c r="B38" s="31" t="n"/>
      <c r="C38" s="58" t="inlineStr">
        <is>
          <t>26/01/2026</t>
        </is>
      </c>
      <c r="D38" s="58" t="inlineStr">
        <is>
          <t>Beijing Tong Ren Tang Healthcare Investment Co., Ltd.</t>
        </is>
      </c>
      <c r="E38" s="58" t="inlineStr">
        <is>
          <t>北京同仁堂醫養投資股份有限公司</t>
        </is>
      </c>
      <c r="F38" s="6" t="inlineStr">
        <is>
          <t>H-share</t>
        </is>
      </c>
      <c r="G38" s="58" t="inlineStr">
        <is>
          <t>Commercialized; China's #1 private TCM hospital network (1.7% market share); subsidiary of Beijing Tong Ren Tang</t>
        </is>
      </c>
      <c r="H38" s="48" t="inlineStr">
        <is>
          <t>Services (TCM)</t>
        </is>
      </c>
      <c r="I38" s="5" t="inlineStr">
        <is>
          <t>CICC</t>
        </is>
      </c>
      <c r="J38" s="49" t="n">
        <v>1175.1</v>
      </c>
      <c r="K38" s="49" t="n">
        <v>36.9</v>
      </c>
      <c r="L38" s="49" t="n">
        <v>296.7</v>
      </c>
      <c r="M38" s="58" t="inlineStr">
        <is>
          <t>TCM hospitals &amp; eldercare network.</t>
        </is>
      </c>
      <c r="N38" s="58" t="n"/>
    </row>
    <row r="39" ht="12" customFormat="1" customHeight="1" s="5">
      <c r="A39" s="58" t="n"/>
      <c r="B39" s="31" t="n"/>
      <c r="C39" s="58" t="inlineStr">
        <is>
          <t>26/01/2026</t>
        </is>
      </c>
      <c r="D39" s="58" t="inlineStr">
        <is>
          <t>Shanghai Aucta Pharmaceuticals Co., Ltd. - B</t>
        </is>
      </c>
      <c r="E39" s="58" t="inlineStr">
        <is>
          <t>上海奥科达医药科技股份有限公司</t>
        </is>
      </c>
      <c r="F39" s="6" t="inlineStr">
        <is>
          <t>H-share</t>
        </is>
      </c>
      <c r="G39" s="58" t="inlineStr">
        <is>
          <t>Commercialized; US-approved CNS drugs, GLP-1 nasal spray Phase 3 planned</t>
        </is>
      </c>
      <c r="H39" s="48" t="inlineStr">
        <is>
          <t>Pharma</t>
        </is>
      </c>
      <c r="I39" s="5" t="inlineStr">
        <is>
          <t>CMS Intl, CCBI</t>
        </is>
      </c>
      <c r="J39" s="49" t="n">
        <v>292</v>
      </c>
      <c r="K39" s="49" t="n">
        <v>7</v>
      </c>
      <c r="L39" s="49" t="n"/>
      <c r="M39" s="58" t="inlineStr">
        <is>
          <t>Motpoly XR (first FDA-approved once-daily lacosamide ER for epilepsy); AUC059 (GLP-1 nasal spray, Ph3).</t>
        </is>
      </c>
      <c r="N39" s="58" t="n"/>
    </row>
    <row r="40" ht="12" customFormat="1" customHeight="1" s="5">
      <c r="A40" s="58" t="n"/>
      <c r="B40" s="31" t="n"/>
      <c r="C40" s="58" t="inlineStr">
        <is>
          <t>22/01/2026</t>
        </is>
      </c>
      <c r="D40" s="58" t="inlineStr">
        <is>
          <t>Hangzhou Bangshun Pharmaceutical Co., Ltd. - B</t>
        </is>
      </c>
      <c r="E40" s="58" t="inlineStr">
        <is>
          <t>杭州邦顺制药股份有限公司</t>
        </is>
      </c>
      <c r="F40" s="6" t="inlineStr">
        <is>
          <t>H-share</t>
        </is>
      </c>
      <c r="G40" s="58" t="inlineStr">
        <is>
          <t>Near-commercial; Bezunostat NDA filed Aug 2024 for myelofibrosis, approval expected Q2 2026 (18A)</t>
        </is>
      </c>
      <c r="H40" s="48" t="inlineStr">
        <is>
          <t>Pharma / Biotech</t>
        </is>
      </c>
      <c r="I40" s="5" t="inlineStr">
        <is>
          <t>CSC Intl</t>
        </is>
      </c>
      <c r="J40" s="49" t="inlineStr">
        <is>
          <t>-</t>
        </is>
      </c>
      <c r="K40" s="49" t="n">
        <v>-88</v>
      </c>
      <c r="L40" s="49" t="n">
        <v>158</v>
      </c>
      <c r="M40" s="58" t="inlineStr">
        <is>
          <t>Bezunostat (贝泽昔替尼) - JAK2 inhibitor for myelofibrosis (NDA filed); CX1440 in registrational stage.</t>
        </is>
      </c>
      <c r="N40" s="58" t="n"/>
    </row>
    <row r="41" ht="12" customFormat="1" customHeight="1" s="5">
      <c r="A41" s="58" t="n"/>
      <c r="B41" s="31" t="n"/>
      <c r="C41" s="58" t="inlineStr">
        <is>
          <t>22/01/2026</t>
        </is>
      </c>
      <c r="D41" s="58" t="inlineStr">
        <is>
          <t>Hunan Xizi Health Group Co., LTD</t>
        </is>
      </c>
      <c r="E41" s="58" t="inlineStr">
        <is>
          <t>湖南西子健康集團股份有限公司</t>
        </is>
      </c>
      <c r="F41" s="6" t="inlineStr">
        <is>
          <t>H-share</t>
        </is>
      </c>
      <c r="G41" s="58" t="inlineStr">
        <is>
          <t>Commercialized; #3 sports nutrition brand operator in China (Frost &amp; Sullivan 2024); FoYes, fiboo brands</t>
        </is>
      </c>
      <c r="H41" s="48" t="inlineStr">
        <is>
          <t>Consumer Health</t>
        </is>
      </c>
      <c r="I41" s="5" t="inlineStr">
        <is>
          <t>CITIC</t>
        </is>
      </c>
      <c r="J41" s="49" t="n">
        <v>1692.228</v>
      </c>
      <c r="K41" s="49" t="n">
        <v>149.274</v>
      </c>
      <c r="L41" s="49" t="n">
        <v>122.981</v>
      </c>
      <c r="M41" s="58" t="inlineStr">
        <is>
          <t>Sports Nutrition: "FoYes" brand protein &amp; supplements; DTC sales via Douyin.</t>
        </is>
      </c>
      <c r="N41" s="58" t="n"/>
    </row>
    <row r="42" ht="12" customFormat="1" customHeight="1" s="5">
      <c r="A42" s="58" t="n"/>
      <c r="B42" s="31" t="n"/>
      <c r="C42" s="58" t="inlineStr">
        <is>
          <t>20/01/2026</t>
        </is>
      </c>
      <c r="D42" s="58" t="inlineStr">
        <is>
          <t>BioRay Biopharmaceutical Co., Ltd.</t>
        </is>
      </c>
      <c r="E42" s="58" t="inlineStr">
        <is>
          <t>浙江博銳生物製藥股份有限公司</t>
        </is>
      </c>
      <c r="F42" s="6" t="inlineStr">
        <is>
          <t>H-share</t>
        </is>
      </c>
      <c r="G42" s="58" t="inlineStr">
        <is>
          <t>Commercial-stage; Zuberitamab (anti-CD20 mAb) approved 2023, Adalimumab biosimilar; autoimmune/oncology focus</t>
        </is>
      </c>
      <c r="H42" s="58" t="inlineStr">
        <is>
          <t>Pharma / Biotech</t>
        </is>
      </c>
      <c r="I42" s="5" t="inlineStr">
        <is>
          <t>Huatai, JPM</t>
        </is>
      </c>
      <c r="J42" s="49" t="n">
        <v>1623.077</v>
      </c>
      <c r="K42" s="49" t="n">
        <v>91.295</v>
      </c>
      <c r="L42" s="49" t="n">
        <v>1102.22</v>
      </c>
      <c r="M42" s="58" t="inlineStr">
        <is>
          <t>Autoimmune/Oncology: Zuberitamab (CD20), Adalimumab, Tocilizumab biosimilars.</t>
        </is>
      </c>
      <c r="N42" s="58" t="n"/>
    </row>
    <row r="43" ht="12" customFormat="1" customHeight="1" s="5">
      <c r="A43" s="58" t="n"/>
      <c r="B43" s="31" t="inlineStr">
        <is>
          <t>Expiring in 6 month</t>
        </is>
      </c>
      <c r="C43" s="58" t="inlineStr">
        <is>
          <t>18/01/2026</t>
        </is>
      </c>
      <c r="D43" s="58" t="inlineStr">
        <is>
          <t>Shanghai Duoning Biotechnology Co., Ltd.</t>
        </is>
      </c>
      <c r="E43" s="58" t="inlineStr">
        <is>
          <t>上海多寧生物科技股份有限公司</t>
        </is>
      </c>
      <c r="F43" s="6" t="n"/>
      <c r="G43" s="58" t="n"/>
      <c r="H43" s="5" t="inlineStr">
        <is>
          <t>Diagnostics / Tools</t>
        </is>
      </c>
      <c r="I43" s="5" t="inlineStr">
        <is>
          <t>MS, Huatai</t>
        </is>
      </c>
      <c r="J43" s="12" t="n">
        <v>842.88</v>
      </c>
      <c r="K43" s="12" t="n">
        <v>-27.5</v>
      </c>
      <c r="L43" s="12" t="n">
        <v>223.736</v>
      </c>
      <c r="M43" s="58" t="inlineStr">
        <is>
          <t>Bioprocess Solutions: Bioreactors, filtration systems, and chromatography for biologics manufacturing.</t>
        </is>
      </c>
      <c r="N43" s="58" t="n"/>
    </row>
    <row r="44" ht="12" customFormat="1" customHeight="1" s="5">
      <c r="B44" s="29" t="inlineStr">
        <is>
          <t>Expiring in 6 month</t>
        </is>
      </c>
      <c r="C44" s="58" t="inlineStr">
        <is>
          <t>16/01/2026</t>
        </is>
      </c>
      <c r="D44" s="9" t="inlineStr">
        <is>
          <t>Shanghai MediTrust Health Technology Group Co., Ltd.</t>
        </is>
      </c>
      <c r="E44" s="10" t="inlineStr">
        <is>
          <t>上海鎂信健康科技集團股份有限公司</t>
        </is>
      </c>
      <c r="F44" s="11" t="inlineStr">
        <is>
          <t>H-share</t>
        </is>
      </c>
      <c r="G44" s="9" t="inlineStr">
        <is>
          <t>Health tech &amp; payment platform</t>
        </is>
      </c>
      <c r="H44" s="5" t="inlineStr">
        <is>
          <t>Services (PBM)</t>
        </is>
      </c>
      <c r="I44" s="58" t="inlineStr">
        <is>
          <t>GS, CICC, HSBC</t>
        </is>
      </c>
      <c r="J44" s="12" t="n">
        <v>2035.3</v>
      </c>
      <c r="K44" s="12" t="n">
        <v>-75.8</v>
      </c>
      <c r="L44" s="12" t="n">
        <v>378</v>
      </c>
      <c r="M44" s="5" t="inlineStr">
        <is>
          <t>Medical payment / benefits platform.</t>
        </is>
      </c>
      <c r="N44" s="58" t="n"/>
    </row>
    <row r="45" outlineLevel="1" ht="12" customFormat="1" customHeight="1" s="5">
      <c r="A45" s="4" t="n"/>
      <c r="B45" s="29" t="inlineStr">
        <is>
          <t>Expiring in 6 month</t>
        </is>
      </c>
      <c r="C45" s="58" t="inlineStr">
        <is>
          <t>16/01/2026</t>
        </is>
      </c>
      <c r="D45" s="58" t="inlineStr">
        <is>
          <t>Harbin Yuyantang Traditional Chinese Medicine</t>
        </is>
      </c>
      <c r="E45" s="58" t="inlineStr">
        <is>
          <t>哈爾濱譽研堂中醫門診集團股份有限公司</t>
        </is>
      </c>
      <c r="F45" s="6" t="n"/>
      <c r="G45" s="58" t="n"/>
      <c r="H45" s="5" t="inlineStr">
        <is>
          <t>Services (TCM)</t>
        </is>
      </c>
      <c r="I45" s="58" t="inlineStr">
        <is>
          <t>CMBI, Guoyuan</t>
        </is>
      </c>
      <c r="J45" s="12" t="n">
        <v>215.2</v>
      </c>
      <c r="K45" s="12" t="n">
        <v>27.08</v>
      </c>
      <c r="L45" s="12" t="n">
        <v>54.441</v>
      </c>
      <c r="M45" s="58" t="inlineStr">
        <is>
          <t>TCM Clinics</t>
        </is>
      </c>
      <c r="N45" s="58" t="n"/>
    </row>
    <row r="46" outlineLevel="1" ht="12" customHeight="1">
      <c r="B46" s="29" t="inlineStr">
        <is>
          <t>Expiring in 6 month</t>
        </is>
      </c>
      <c r="C46" s="58" t="inlineStr">
        <is>
          <t>16/01/2026</t>
        </is>
      </c>
      <c r="D46" s="58" t="inlineStr">
        <is>
          <t>Suzhou GenHouse Bio Co., Ltd.</t>
        </is>
      </c>
      <c r="E46" s="58" t="inlineStr">
        <is>
          <t>勤浩醫藥（蘇州）股份有限公司</t>
        </is>
      </c>
      <c r="F46" s="6" t="n"/>
      <c r="G46" s="58" t="n"/>
      <c r="H46" s="58" t="inlineStr">
        <is>
          <t>Pharma / Biotech</t>
        </is>
      </c>
      <c r="I46" s="18" t="inlineStr">
        <is>
          <t>Huatai</t>
        </is>
      </c>
      <c r="J46" s="12" t="n">
        <v>4.69</v>
      </c>
      <c r="K46" s="12" t="n">
        <v>-151.775</v>
      </c>
      <c r="L46" s="12" t="n">
        <v>24.773</v>
      </c>
      <c r="M46" s="58" t="inlineStr">
        <is>
          <t>Oncology: Small molecule inhibitors targeting KRAS and SHP2 pathways.</t>
        </is>
      </c>
      <c r="N46" s="58" t="n"/>
    </row>
    <row r="47" outlineLevel="1" ht="12" customHeight="1">
      <c r="A47" s="4" t="n"/>
      <c r="B47" s="29" t="inlineStr">
        <is>
          <t>Expiring in 6 month</t>
        </is>
      </c>
      <c r="C47" s="58" t="inlineStr">
        <is>
          <t>15/01/2026</t>
        </is>
      </c>
      <c r="D47" s="58" t="inlineStr">
        <is>
          <t>InventisBio Co., Limited</t>
        </is>
      </c>
      <c r="E47" s="58" t="inlineStr">
        <is>
          <t>益方生物科技（上海）股份有限公司</t>
        </is>
      </c>
      <c r="F47" s="6" t="n"/>
      <c r="G47" s="58" t="n"/>
      <c r="H47" s="58" t="inlineStr">
        <is>
          <t>Pharma / Biotech</t>
        </is>
      </c>
      <c r="I47" s="5" t="inlineStr">
        <is>
          <t>CITIC</t>
        </is>
      </c>
      <c r="J47" s="12" t="n">
        <v>168.79</v>
      </c>
      <c r="K47" s="12" t="n">
        <v>-240.204</v>
      </c>
      <c r="L47" s="12" t="n">
        <v>913.947</v>
      </c>
      <c r="M47" s="58" t="inlineStr">
        <is>
          <t>EGFR / KRAS inhibitors; TYK2 inhibitor</t>
        </is>
      </c>
      <c r="N47" s="58" t="n"/>
    </row>
    <row r="48" outlineLevel="1" ht="12" customHeight="1">
      <c r="A48" s="58" t="n"/>
      <c r="B48" s="29" t="inlineStr">
        <is>
          <t>Expiring in 6 month</t>
        </is>
      </c>
      <c r="C48" s="58" t="inlineStr">
        <is>
          <t>14/01/2026</t>
        </is>
      </c>
      <c r="D48" s="58" t="inlineStr">
        <is>
          <t>Exegenesis Bio Inc.</t>
        </is>
      </c>
      <c r="E48" s="58" t="inlineStr">
        <is>
          <t>N/A</t>
        </is>
      </c>
      <c r="F48" s="6" t="n"/>
      <c r="G48" s="58" t="n"/>
      <c r="H48" s="58" t="inlineStr">
        <is>
          <t>Pharma / Biotech</t>
        </is>
      </c>
      <c r="I48" s="5" t="inlineStr">
        <is>
          <t>CCBI</t>
        </is>
      </c>
      <c r="J48" s="12" t="inlineStr">
        <is>
          <t>-</t>
        </is>
      </c>
      <c r="K48" s="12" t="n">
        <v>-219.804</v>
      </c>
      <c r="L48" s="12" t="n">
        <v>278.62</v>
      </c>
      <c r="M48" s="58" t="inlineStr">
        <is>
          <t>EXG001-307: AAV gene therapy for SMA Type 1; EXG102-031: Gene therapy for wAMD.</t>
        </is>
      </c>
      <c r="N48" s="58" t="n"/>
    </row>
    <row r="49" outlineLevel="1" ht="12" customHeight="1">
      <c r="B49" s="29" t="inlineStr">
        <is>
          <t>Expiring in 6 month</t>
        </is>
      </c>
      <c r="C49" s="58" t="inlineStr">
        <is>
          <t>14/01/2026</t>
        </is>
      </c>
      <c r="D49" s="58" t="inlineStr">
        <is>
          <t>Immvira Bioscience Inc.</t>
        </is>
      </c>
      <c r="E49" s="5" t="inlineStr">
        <is>
          <t>亦諾微醫藥</t>
        </is>
      </c>
      <c r="H49" s="5" t="inlineStr">
        <is>
          <t>Pharma / Biotech</t>
        </is>
      </c>
      <c r="I49" s="58" t="inlineStr">
        <is>
          <t>Citi, CICC</t>
        </is>
      </c>
      <c r="J49" s="12" t="n">
        <v>3.2</v>
      </c>
      <c r="K49" s="12" t="n">
        <v>-523.755</v>
      </c>
      <c r="L49" s="12" t="n">
        <v>112.388</v>
      </c>
      <c r="M49" s="5" t="inlineStr">
        <is>
          <t>Oncolytic HSV vectors (OVPENS platform).</t>
        </is>
      </c>
      <c r="N49" s="58" t="n"/>
    </row>
    <row r="50" outlineLevel="1" ht="12" customHeight="1">
      <c r="B50" s="29" t="inlineStr">
        <is>
          <t>Expiring in 6 month</t>
        </is>
      </c>
      <c r="C50" s="58" t="inlineStr">
        <is>
          <t>13/01/2026</t>
        </is>
      </c>
      <c r="D50" s="58" t="inlineStr">
        <is>
          <t>Lianchi Hospital Group Co., Ltd.</t>
        </is>
      </c>
      <c r="E50" s="58" t="inlineStr">
        <is>
          <t>蓮池醫院集團股份有限公司</t>
        </is>
      </c>
      <c r="F50" s="6" t="n"/>
      <c r="G50" s="58" t="n"/>
      <c r="H50" s="5" t="inlineStr">
        <is>
          <t>Services (Hospital)</t>
        </is>
      </c>
      <c r="I50" s="58" t="inlineStr">
        <is>
          <t>China Galaxy Intl.</t>
        </is>
      </c>
      <c r="J50" s="12" t="n">
        <v>418.414</v>
      </c>
      <c r="K50" s="12" t="n">
        <v>67.59099999999999</v>
      </c>
      <c r="L50" s="12" t="n">
        <v>91.078</v>
      </c>
      <c r="M50" s="58" t="inlineStr">
        <is>
          <t>Orthopedics</t>
        </is>
      </c>
      <c r="N50" s="58" t="n"/>
    </row>
    <row r="51" outlineLevel="1" ht="12" customHeight="1">
      <c r="B51" s="29" t="inlineStr">
        <is>
          <t>Expiring in 6 month</t>
        </is>
      </c>
      <c r="C51" s="58" t="inlineStr">
        <is>
          <t>13/01/2026</t>
        </is>
      </c>
      <c r="D51" s="58" t="inlineStr">
        <is>
          <t>Chengdu Zenitar Biomedical Technology</t>
        </is>
      </c>
      <c r="E51" s="58" t="inlineStr">
        <is>
          <t>成都賾靈生物醫藥科技股份有限公司</t>
        </is>
      </c>
      <c r="F51" s="6" t="n"/>
      <c r="G51" s="58" t="n"/>
      <c r="H51" s="5" t="inlineStr">
        <is>
          <t>Pharma / Biotech</t>
        </is>
      </c>
      <c r="I51" s="58" t="inlineStr">
        <is>
          <t>Jefferies, CICC</t>
        </is>
      </c>
      <c r="J51" s="12" t="inlineStr">
        <is>
          <t>-</t>
        </is>
      </c>
      <c r="K51" s="12" t="n">
        <v>-91.65600000000001</v>
      </c>
      <c r="L51" s="12" t="n">
        <v>5.512</v>
      </c>
      <c r="M51" s="58" t="inlineStr">
        <is>
          <t>Flonoltinib Maleate: JAK inhibitor for Myelofibrosis; Purinostat: HDAC inhibitor.</t>
        </is>
      </c>
      <c r="N51" s="58" t="n"/>
    </row>
    <row r="52" outlineLevel="1" ht="12" customHeight="1">
      <c r="B52" s="29" t="inlineStr">
        <is>
          <t>Expiring in 6 month</t>
        </is>
      </c>
      <c r="C52" s="58" t="inlineStr">
        <is>
          <t>13/01/2026</t>
        </is>
      </c>
      <c r="D52" s="58" t="inlineStr">
        <is>
          <t>Shanghai Shengsheng Pharm. Cold Chain</t>
        </is>
      </c>
      <c r="E52" s="58" t="inlineStr">
        <is>
          <t>上海生生醫藥冷鏈科技股份有限公司</t>
        </is>
      </c>
      <c r="F52" s="6" t="n"/>
      <c r="G52" s="58" t="n"/>
      <c r="H52" s="5" t="inlineStr">
        <is>
          <t>Distributor</t>
        </is>
      </c>
      <c r="I52" s="58" t="inlineStr">
        <is>
          <t>CICC, Sinolink</t>
        </is>
      </c>
      <c r="J52" s="12" t="n">
        <v>654.489</v>
      </c>
      <c r="K52" s="12" t="n">
        <v>26.396</v>
      </c>
      <c r="L52" s="12" t="n">
        <v>514.932</v>
      </c>
      <c r="M52" s="58" t="inlineStr">
        <is>
          <t>Cold Chain Logistics: Integrated logistics for vaccines and biologics.</t>
        </is>
      </c>
      <c r="N52" s="58" t="n"/>
    </row>
    <row r="53" outlineLevel="1" ht="12" customHeight="1">
      <c r="B53" s="29" t="inlineStr">
        <is>
          <t>Expiring in 6 month</t>
        </is>
      </c>
      <c r="C53" s="57" t="n">
        <v>46266</v>
      </c>
      <c r="D53" s="9" t="inlineStr">
        <is>
          <t>Simcere Zaiming Pharmaceutical Co., Ltd.</t>
        </is>
      </c>
      <c r="E53" s="9" t="inlineStr">
        <is>
          <t>先聲再明醫藥股份有限公司</t>
        </is>
      </c>
      <c r="F53" s="11" t="inlineStr">
        <is>
          <t>H-share</t>
        </is>
      </c>
      <c r="G53" s="9" t="inlineStr">
        <is>
          <t>Commercialized. Spun off from Simcere Pharma; has established oncology sales.</t>
        </is>
      </c>
      <c r="H53" s="5" t="inlineStr">
        <is>
          <t>Pharma / Biotech</t>
        </is>
      </c>
      <c r="I53" s="58" t="inlineStr">
        <is>
          <t>MS, CICC</t>
        </is>
      </c>
      <c r="J53" s="12" t="n">
        <v>1295.955</v>
      </c>
      <c r="K53" s="12" t="n">
        <v>-506.223</v>
      </c>
      <c r="L53" s="12" t="n">
        <v>125.927</v>
      </c>
      <c r="M53" s="58" t="inlineStr">
        <is>
          <t>Oncology Portfolio: Suvemcitug, Cosela (Trilaciclib), and checkpoint inhibitors (Sub. of Simcere).</t>
        </is>
      </c>
      <c r="N53" s="58" t="n"/>
    </row>
    <row r="54" outlineLevel="1" ht="12" customHeight="1">
      <c r="B54" s="29" t="inlineStr">
        <is>
          <t>Expiring in 6 month</t>
        </is>
      </c>
      <c r="C54" s="57" t="n">
        <v>46235</v>
      </c>
      <c r="D54" s="58" t="inlineStr">
        <is>
          <t>Hunan Xizi Health Group Co., LTD</t>
        </is>
      </c>
      <c r="E54" s="58" t="inlineStr">
        <is>
          <t>湖南西子健康集團股份有限公司</t>
        </is>
      </c>
      <c r="F54" s="6" t="n"/>
      <c r="G54" s="58" t="n"/>
      <c r="H54" s="58" t="inlineStr">
        <is>
          <t>Consumer Health</t>
        </is>
      </c>
      <c r="I54" s="5" t="inlineStr">
        <is>
          <t>CITIC</t>
        </is>
      </c>
      <c r="J54" s="12" t="n">
        <v>1692.228</v>
      </c>
      <c r="K54" s="12" t="n">
        <v>149.274</v>
      </c>
      <c r="L54" s="12" t="n">
        <v>122.981</v>
      </c>
      <c r="M54" s="58" t="inlineStr">
        <is>
          <t>Sports Nutrition: "FoYes" brand protein &amp; supplements; DTC sales via Douyin.</t>
        </is>
      </c>
      <c r="N54" s="58" t="n"/>
    </row>
    <row r="55" outlineLevel="1" ht="12" customHeight="1">
      <c r="A55" s="32" t="n"/>
      <c r="B55" s="29" t="inlineStr">
        <is>
          <t>Expiring in 6 month</t>
        </is>
      </c>
      <c r="C55" s="57" t="n">
        <v>46174</v>
      </c>
      <c r="D55" s="58" t="inlineStr">
        <is>
          <t>BioRay Biopharmaceutical Co., Ltd.</t>
        </is>
      </c>
      <c r="E55" s="58" t="inlineStr">
        <is>
          <t>浙江博銳生物製藥股份有限公司</t>
        </is>
      </c>
      <c r="F55" s="6" t="n"/>
      <c r="G55" s="58" t="n"/>
      <c r="H55" s="5" t="inlineStr">
        <is>
          <t>Pharma / Biotech</t>
        </is>
      </c>
      <c r="I55" s="58" t="inlineStr">
        <is>
          <t>Huatai, JPM</t>
        </is>
      </c>
      <c r="J55" s="12" t="n">
        <v>1623.077</v>
      </c>
      <c r="K55" s="12" t="n">
        <v>91.295</v>
      </c>
      <c r="L55" s="12" t="n">
        <v>1102.22</v>
      </c>
      <c r="M55" s="58" t="inlineStr">
        <is>
          <t>Autoimmune/Oncology: Zuberitamab (CD20), Adalimumab, Tocilizumab biosimilars.</t>
        </is>
      </c>
      <c r="N55" s="58" t="n"/>
    </row>
    <row r="56" outlineLevel="1" ht="12" customHeight="1">
      <c r="A56" s="5" t="n"/>
      <c r="B56" s="29" t="inlineStr">
        <is>
          <t>Expiring in 6 month</t>
        </is>
      </c>
      <c r="C56" s="57" t="n">
        <v>46174</v>
      </c>
      <c r="D56" s="58" t="inlineStr">
        <is>
          <t>Hangzhou Diagens Biotechnology Co., Ltd.</t>
        </is>
      </c>
      <c r="E56" s="58" t="inlineStr">
        <is>
          <t>杭州德適生物科技股份有限公司</t>
        </is>
      </c>
      <c r="F56" s="6" t="n"/>
      <c r="G56" s="58" t="n"/>
      <c r="H56" s="5" t="inlineStr">
        <is>
          <t>MedTech</t>
        </is>
      </c>
      <c r="I56" s="58" t="inlineStr">
        <is>
          <t>Huatai</t>
        </is>
      </c>
      <c r="J56" s="12" t="n">
        <v>70.352</v>
      </c>
      <c r="K56" s="12" t="n">
        <v>-43.375</v>
      </c>
      <c r="L56" s="12" t="n">
        <v>17.104</v>
      </c>
      <c r="M56" s="58" t="inlineStr">
        <is>
          <t>AI AutoVision: AI-assisted chromosome karyotype analysis system.</t>
        </is>
      </c>
      <c r="N56" s="58" t="n"/>
    </row>
    <row r="57" outlineLevel="1" ht="12" customHeight="1">
      <c r="A57" s="5" t="n"/>
      <c r="B57" s="29" t="inlineStr">
        <is>
          <t>Expiring in 6 month</t>
        </is>
      </c>
      <c r="C57" s="57" t="n">
        <v>46023</v>
      </c>
      <c r="D57" s="58" t="inlineStr">
        <is>
          <t>Healife Group Co., Ltd.</t>
        </is>
      </c>
      <c r="E57" s="58" t="inlineStr">
        <is>
          <t>上海萬怡醫學科技股份有限公司</t>
        </is>
      </c>
      <c r="F57" s="6" t="n"/>
      <c r="G57" s="58" t="n"/>
      <c r="H57" s="58" t="inlineStr">
        <is>
          <t>Healthcare Tech</t>
        </is>
      </c>
      <c r="I57" s="58" t="inlineStr">
        <is>
          <t>Everbright</t>
        </is>
      </c>
      <c r="J57" s="12" t="n">
        <v>271.064</v>
      </c>
      <c r="K57" s="12" t="n">
        <v>29.719</v>
      </c>
      <c r="L57" s="12" t="n">
        <v>35.121</v>
      </c>
      <c r="M57" s="58" t="inlineStr">
        <is>
          <t>Medical Marketing: Academic conference organization and medical marketing services.</t>
        </is>
      </c>
      <c r="N57" s="58" t="n"/>
    </row>
    <row r="58" outlineLevel="1" ht="12" customHeight="1">
      <c r="A58" s="5" t="n"/>
      <c r="B58" s="29" t="inlineStr">
        <is>
          <t>Expiring in 5 month</t>
        </is>
      </c>
      <c r="C58" s="58" t="inlineStr">
        <is>
          <t>31/12/2025</t>
        </is>
      </c>
      <c r="D58" s="58" t="inlineStr">
        <is>
          <t>Jingze Biopharmaceutical (Hefei) Co., Ltd.</t>
        </is>
      </c>
      <c r="E58" s="58" t="inlineStr">
        <is>
          <t>景澤生物醫藥 (合肥)股份有限公司</t>
        </is>
      </c>
      <c r="F58" s="6" t="n"/>
      <c r="G58" s="58" t="n"/>
      <c r="H58" s="5" t="inlineStr">
        <is>
          <t>Pharma / Biotech</t>
        </is>
      </c>
      <c r="I58" s="58" t="inlineStr">
        <is>
          <t>CICC, Guoyuan</t>
        </is>
      </c>
      <c r="J58" s="12" t="inlineStr">
        <is>
          <t>-</t>
        </is>
      </c>
      <c r="K58" s="12" t="n">
        <v>-242.743</v>
      </c>
      <c r="L58" s="12" t="n">
        <v>68.586</v>
      </c>
      <c r="M58" s="58" t="inlineStr">
        <is>
          <t>Reproductive/Ophtha: JZB30 (rFSH) and JZB05 (VEGF).</t>
        </is>
      </c>
      <c r="N58" s="58" t="n"/>
    </row>
    <row r="59" outlineLevel="1" ht="12" customHeight="1">
      <c r="A59" s="5" t="n"/>
      <c r="B59" s="29" t="inlineStr">
        <is>
          <t>Expiring in 5 month</t>
        </is>
      </c>
      <c r="C59" s="58" t="inlineStr">
        <is>
          <t>29/12/2025</t>
        </is>
      </c>
      <c r="D59" s="58" t="inlineStr">
        <is>
          <t>Youcare Pharmaceutical Group Co., Ltd.</t>
        </is>
      </c>
      <c r="E59" s="58" t="inlineStr">
        <is>
          <t>悅康藥業集團股份有限公司</t>
        </is>
      </c>
      <c r="F59" s="6" t="n"/>
      <c r="G59" s="58" t="n"/>
      <c r="H59" s="5" t="inlineStr">
        <is>
          <t>Pharma / Biotech</t>
        </is>
      </c>
      <c r="I59" s="58" t="inlineStr">
        <is>
          <t>CITIC</t>
        </is>
      </c>
      <c r="J59" s="12" t="n">
        <v>3767.401</v>
      </c>
      <c r="K59" s="12" t="n">
        <v>121.247</v>
      </c>
      <c r="L59" s="12" t="n">
        <v>1237.819</v>
      </c>
      <c r="M59" s="58" t="inlineStr">
        <is>
          <t>Innovative Drugs: CT102 (Liver cancer), anti-infectives. (A-share listed).</t>
        </is>
      </c>
      <c r="N59" s="58" t="n"/>
    </row>
    <row r="60" outlineLevel="1" ht="12" customHeight="1">
      <c r="A60" s="5" t="n"/>
      <c r="B60" s="29" t="inlineStr">
        <is>
          <t>Expiring in 5 month</t>
        </is>
      </c>
      <c r="C60" s="58" t="inlineStr">
        <is>
          <t>24/12/2025</t>
        </is>
      </c>
      <c r="D60" s="58" t="inlineStr">
        <is>
          <t>Guangzhou Novaken Pharm Co., Ltd.</t>
        </is>
      </c>
      <c r="E60" s="58" t="inlineStr">
        <is>
          <t>廣州新濟醫藥股份有限公司</t>
        </is>
      </c>
      <c r="F60" s="6" t="n"/>
      <c r="G60" s="58" t="n"/>
      <c r="H60" s="5" t="inlineStr">
        <is>
          <t>Pharma / Biotech</t>
        </is>
      </c>
      <c r="I60" s="58" t="inlineStr">
        <is>
          <t>Guotai Junan Intl.</t>
        </is>
      </c>
      <c r="J60" s="12" t="n">
        <v>49.026</v>
      </c>
      <c r="K60" s="12" t="n">
        <v>-147.084</v>
      </c>
      <c r="L60" s="12" t="n">
        <v>68.361</v>
      </c>
      <c r="M60" s="58" t="inlineStr">
        <is>
          <t>Microneedles/Inhalation: Soluble microneedle patches and nasal inhalation platforms.</t>
        </is>
      </c>
      <c r="N60" s="58" t="n"/>
    </row>
    <row r="61" outlineLevel="1" ht="12" customHeight="1">
      <c r="A61" s="5" t="n"/>
      <c r="B61" s="29" t="inlineStr">
        <is>
          <t>Expiring in 5 month</t>
        </is>
      </c>
      <c r="C61" s="57" t="n">
        <v>45942</v>
      </c>
      <c r="D61" s="58" t="inlineStr">
        <is>
          <t>CSPC Innovation Pharmaceutical Co., Ltd.</t>
        </is>
      </c>
      <c r="E61" s="58" t="inlineStr">
        <is>
          <t>石藥創新製藥股份有限公司</t>
        </is>
      </c>
      <c r="F61" s="6" t="n"/>
      <c r="G61" s="58" t="n"/>
      <c r="H61" s="5" t="inlineStr">
        <is>
          <t>Pharma / Biotech</t>
        </is>
      </c>
      <c r="I61" s="58" t="inlineStr">
        <is>
          <t>CITIC</t>
        </is>
      </c>
      <c r="J61" s="12" t="n">
        <v>1980.753</v>
      </c>
      <c r="K61" s="12" t="n">
        <v>-303.713</v>
      </c>
      <c r="L61" s="12" t="n">
        <v>858.9829999999999</v>
      </c>
      <c r="M61" s="58" t="inlineStr">
        <is>
          <t>Caffeine/GLP-1/EGFR ADC: Functional food additives and innovative drugs.</t>
        </is>
      </c>
      <c r="N61" s="58" t="n"/>
    </row>
    <row r="62" outlineLevel="1" ht="12" customHeight="1">
      <c r="A62" s="58" t="n"/>
      <c r="B62" s="29" t="inlineStr">
        <is>
          <t>Expiring in 5 month</t>
        </is>
      </c>
      <c r="C62" s="57" t="inlineStr">
        <is>
          <t>23/12/2025</t>
        </is>
      </c>
      <c r="D62" s="58" t="inlineStr">
        <is>
          <t>Frontera Therapeutics - B</t>
        </is>
      </c>
      <c r="E62" s="58" t="inlineStr">
        <is>
          <t>N/A</t>
        </is>
      </c>
      <c r="F62" s="6" t="n"/>
      <c r="G62" s="58" t="n"/>
      <c r="H62" s="5" t="inlineStr">
        <is>
          <t>Pharma / Biotech</t>
        </is>
      </c>
      <c r="I62" s="58" t="inlineStr">
        <is>
          <t>UBS, Guotai Junan Intl.</t>
        </is>
      </c>
      <c r="J62" s="12" t="inlineStr">
        <is>
          <t>-</t>
        </is>
      </c>
      <c r="K62" s="12" t="n">
        <v>-26.464</v>
      </c>
      <c r="L62" s="12" t="n">
        <v>12.807</v>
      </c>
      <c r="M62" s="58" t="inlineStr">
        <is>
          <t>FT-002 (Orphan drug for XLRP) and FT-003 (nAMD and DME)</t>
        </is>
      </c>
      <c r="N62" s="58" t="n"/>
    </row>
    <row r="63" outlineLevel="1" ht="12" customHeight="1">
      <c r="A63" s="5" t="n"/>
      <c r="B63" s="29" t="inlineStr">
        <is>
          <t>Expiring in 5 month</t>
        </is>
      </c>
      <c r="C63" s="58" t="inlineStr">
        <is>
          <t>21/12/2025</t>
        </is>
      </c>
      <c r="D63" s="9" t="inlineStr">
        <is>
          <t>Geneplus Technology (Shaoxing) Co., Ltd.</t>
        </is>
      </c>
      <c r="E63" s="9" t="inlineStr">
        <is>
          <t>吉因加科技（紹興）股份有限公司</t>
        </is>
      </c>
      <c r="F63" s="11" t="inlineStr">
        <is>
          <t>H-share</t>
        </is>
      </c>
      <c r="G63" s="9" t="inlineStr">
        <is>
          <t>IVD: Gene+Seq series sequencers and oncology liquid biopsy kits.</t>
        </is>
      </c>
      <c r="H63" s="5" t="inlineStr">
        <is>
          <t>MedTech</t>
        </is>
      </c>
      <c r="I63" s="58" t="inlineStr">
        <is>
          <t>CCBI, CBMC</t>
        </is>
      </c>
      <c r="J63" s="12" t="n">
        <v>557.1319999999999</v>
      </c>
      <c r="K63" s="12" t="n">
        <v>-424.34</v>
      </c>
      <c r="L63" s="12" t="n">
        <v>263.83</v>
      </c>
      <c r="M63" s="58" t="inlineStr">
        <is>
          <t>NGS Diagnostics: Tumor early screening, MRD monitoring, and companion diagnostics.</t>
        </is>
      </c>
      <c r="N63" s="58" t="n"/>
    </row>
    <row r="64" outlineLevel="1" ht="12" customHeight="1">
      <c r="A64" s="15" t="n"/>
      <c r="B64" s="29" t="inlineStr">
        <is>
          <t>Expiring in 5 month</t>
        </is>
      </c>
      <c r="C64" s="58" t="inlineStr">
        <is>
          <t>19/12/2025</t>
        </is>
      </c>
      <c r="D64" s="9" t="inlineStr">
        <is>
          <t>Suzhou Zelgen Biopharmaceuticals Co., Ltd.</t>
        </is>
      </c>
      <c r="E64" s="9" t="inlineStr">
        <is>
          <t>蘇州澤璟生物製藥股份有限公司</t>
        </is>
      </c>
      <c r="F64" s="11" t="inlineStr">
        <is>
          <t>H-share</t>
        </is>
      </c>
      <c r="G64" s="9" t="inlineStr">
        <is>
          <t>Commercialized. Already listed on A-share (STAR Market)</t>
        </is>
      </c>
      <c r="H64" s="5" t="inlineStr">
        <is>
          <t>Pharma / Biotech</t>
        </is>
      </c>
      <c r="I64" s="58" t="inlineStr">
        <is>
          <t>CICC</t>
        </is>
      </c>
      <c r="J64" s="12" t="n">
        <v>531.529</v>
      </c>
      <c r="K64" s="12" t="n">
        <v>-150.299</v>
      </c>
      <c r="L64" s="12" t="n">
        <v>217.265</v>
      </c>
      <c r="M64" s="58" t="inlineStr">
        <is>
          <t>Donafenib: Liver/Thyroid cancer; Jaktinib: Myelofibrosis/Autoimmune.</t>
        </is>
      </c>
      <c r="N64" s="58" t="n"/>
    </row>
    <row r="65" outlineLevel="1" ht="12" customHeight="1">
      <c r="A65" s="15" t="n"/>
      <c r="B65" s="29" t="inlineStr">
        <is>
          <t>Expiring in 5 month</t>
        </is>
      </c>
      <c r="C65" s="57" t="inlineStr">
        <is>
          <t>18/12/2025</t>
        </is>
      </c>
      <c r="D65" s="58" t="inlineStr">
        <is>
          <t>COREE Company Limited</t>
        </is>
      </c>
      <c r="E65" s="58" t="inlineStr">
        <is>
          <t>科酈有限公司</t>
        </is>
      </c>
      <c r="F65" s="6" t="n"/>
      <c r="G65" s="58" t="n"/>
      <c r="H65" s="58" t="inlineStr">
        <is>
          <t>Consumer Health</t>
        </is>
      </c>
      <c r="I65" s="58" t="inlineStr">
        <is>
          <t>CICC</t>
        </is>
      </c>
      <c r="J65" s="12">
        <f>281.7*7</f>
        <v/>
      </c>
      <c r="K65" s="12">
        <f>21.85*7</f>
        <v/>
      </c>
      <c r="L65" s="12">
        <f>16.09*7</f>
        <v/>
      </c>
      <c r="M65" s="58" t="inlineStr">
        <is>
          <t>Pediatric pharmaceutical and nutrition brand (probiotics); digital healthcare solutions.</t>
        </is>
      </c>
      <c r="N65" s="58" t="n"/>
    </row>
    <row r="66" outlineLevel="1" ht="12" customHeight="1">
      <c r="A66" s="15" t="n"/>
      <c r="B66" s="29" t="inlineStr">
        <is>
          <t>Expiring in 5 month</t>
        </is>
      </c>
      <c r="C66" s="57" t="inlineStr">
        <is>
          <t>18/12/2025</t>
        </is>
      </c>
      <c r="D66" s="9" t="inlineStr">
        <is>
          <t>EpimAb Biotherapeutics Inc. - B</t>
        </is>
      </c>
      <c r="E66" s="16" t="inlineStr">
        <is>
          <t>岸邁生物科技有限公司</t>
        </is>
      </c>
      <c r="F66" s="17" t="inlineStr">
        <is>
          <t>Red Chip</t>
        </is>
      </c>
      <c r="G66" s="9" t="inlineStr">
        <is>
          <t>Phase 2, EMB-01 (EGFR/c-Met bispecific antibody)</t>
        </is>
      </c>
      <c r="H66" s="5" t="inlineStr">
        <is>
          <t>Pharma / Biotech</t>
        </is>
      </c>
      <c r="I66" s="58" t="inlineStr">
        <is>
          <t>CITIC, CMBI</t>
        </is>
      </c>
      <c r="J66" s="12" t="n">
        <v>458.865</v>
      </c>
      <c r="K66" s="12" t="n">
        <v>47.687</v>
      </c>
      <c r="L66" s="12" t="n">
        <v>385.912</v>
      </c>
      <c r="M66" s="58" t="inlineStr">
        <is>
          <t>EMB-01: EGFR/cMet BsAb for NSCLC and GI cancers (Phase I/II). Technology: FIT-Ig® (Fabs-In-Tandem Immunoglobulin) platform.</t>
        </is>
      </c>
      <c r="N66" s="58" t="n"/>
    </row>
    <row r="67" outlineLevel="1" ht="12" customHeight="1">
      <c r="A67" s="15" t="n"/>
      <c r="B67" s="29" t="inlineStr">
        <is>
          <t>Expiring in 5 month</t>
        </is>
      </c>
      <c r="C67" s="57" t="inlineStr">
        <is>
          <t>17/12/2025</t>
        </is>
      </c>
      <c r="D67" s="58" t="inlineStr">
        <is>
          <t>SKG Health Technologies Co., Ltd.</t>
        </is>
      </c>
      <c r="E67" s="58" t="inlineStr">
        <is>
          <t>未來穿戴健康科技股份有限公司</t>
        </is>
      </c>
      <c r="F67" s="6" t="n"/>
      <c r="G67" s="58" t="n"/>
      <c r="H67" s="5" t="inlineStr">
        <is>
          <t>MedTech</t>
        </is>
      </c>
      <c r="I67" s="58" t="inlineStr">
        <is>
          <t>China Securities</t>
        </is>
      </c>
      <c r="J67" s="12" t="n">
        <v>1044.79</v>
      </c>
      <c r="K67" s="12" t="n">
        <v>135.459</v>
      </c>
      <c r="L67" s="12" t="n">
        <v>88.521</v>
      </c>
      <c r="M67" s="58" t="inlineStr">
        <is>
          <t>Wearable Health Devices: Smart cervical/neck massagers (No. 1 market share), waist massagers, and health monitoring watches.</t>
        </is>
      </c>
      <c r="N67" s="58" t="n"/>
    </row>
    <row r="68" outlineLevel="1" ht="12" customHeight="1">
      <c r="A68" s="15" t="n"/>
      <c r="B68" s="29" t="inlineStr">
        <is>
          <t>Expiring in 5 month</t>
        </is>
      </c>
      <c r="C68" s="57" t="n">
        <v>45942</v>
      </c>
      <c r="D68" s="58" t="inlineStr">
        <is>
          <t>Shanghai Juncell Therapeutics Co., Ltd. - B</t>
        </is>
      </c>
      <c r="E68" s="58" t="inlineStr">
        <is>
          <t>上海君賽生物股份有限公司</t>
        </is>
      </c>
      <c r="F68" s="6" t="n"/>
      <c r="G68" s="58" t="n"/>
      <c r="H68" s="5" t="inlineStr">
        <is>
          <t>Pharma / Biotech</t>
        </is>
      </c>
      <c r="I68" s="58" t="inlineStr">
        <is>
          <t>CITIC</t>
        </is>
      </c>
      <c r="J68" s="12" t="inlineStr">
        <is>
          <t>-</t>
        </is>
      </c>
      <c r="K68" s="12" t="n">
        <v>-163.652</v>
      </c>
      <c r="L68" s="12" t="n">
        <v>72.426</v>
      </c>
      <c r="M68" s="58" t="inlineStr">
        <is>
          <t>Tumor-infiltrating lymphocyte (TIL) therapy</t>
        </is>
      </c>
      <c r="N68" s="58" t="n"/>
    </row>
    <row r="69" outlineLevel="1" ht="12" customHeight="1">
      <c r="A69" s="15" t="n"/>
      <c r="B69" s="29" t="inlineStr">
        <is>
          <t>Expiring in 4 month</t>
        </is>
      </c>
      <c r="C69" s="57" t="inlineStr">
        <is>
          <t>25/11/2025</t>
        </is>
      </c>
      <c r="D69" s="9" t="inlineStr">
        <is>
          <t>Chengdu Olymvax Biopharmaceuticals Inc.</t>
        </is>
      </c>
      <c r="E69" s="9" t="inlineStr">
        <is>
          <t>成都歐林生物科技股份有限公司</t>
        </is>
      </c>
      <c r="F69" s="11" t="inlineStr">
        <is>
          <t>H-share</t>
        </is>
      </c>
      <c r="G69" s="9" t="inlineStr">
        <is>
          <t>Commercialized. A-share listed company; multiple vaccines currently on sale.</t>
        </is>
      </c>
      <c r="H69" s="58" t="inlineStr">
        <is>
          <t>Vaccine</t>
        </is>
      </c>
      <c r="I69" s="58" t="inlineStr">
        <is>
          <t>CITIC</t>
        </is>
      </c>
      <c r="J69" s="12" t="n">
        <v>586.1</v>
      </c>
      <c r="K69" s="12" t="n">
        <v>15.719</v>
      </c>
      <c r="L69" s="12" t="n">
        <v>217.777</v>
      </c>
      <c r="M69" s="58" t="inlineStr">
        <is>
          <t>Vaccine: rFSAV (Recombinant Staphylococcus aureus vaccine - Phase III); Tetanus Vaccine (Commercialized).</t>
        </is>
      </c>
      <c r="N69" s="58" t="n"/>
    </row>
    <row r="70" outlineLevel="1" ht="12" customHeight="1">
      <c r="A70" s="15" t="n"/>
      <c r="B70" s="29" t="inlineStr">
        <is>
          <t>Expiring in 4 month</t>
        </is>
      </c>
      <c r="C70" s="57" t="n">
        <v>45759</v>
      </c>
      <c r="D70" s="58" t="inlineStr">
        <is>
          <t>Hangzhou Highlightll Pharmaceutical Co., Ltd. - B</t>
        </is>
      </c>
      <c r="E70" s="58" t="inlineStr">
        <is>
          <t>杭州高光製藥股份有限公司</t>
        </is>
      </c>
      <c r="F70" s="6" t="n"/>
      <c r="G70" s="58" t="n"/>
      <c r="H70" s="5" t="inlineStr">
        <is>
          <t>Pharma / Biotech</t>
        </is>
      </c>
      <c r="I70" s="58" t="inlineStr">
        <is>
          <t>CICC, CMBI</t>
        </is>
      </c>
      <c r="J70" s="12" t="inlineStr">
        <is>
          <t>-</t>
        </is>
      </c>
      <c r="K70" s="12" t="n">
        <v>-226.371</v>
      </c>
      <c r="L70" s="12" t="n">
        <v>170.183</v>
      </c>
      <c r="M70" s="58" t="inlineStr">
        <is>
          <t>TLL-018: Dual TYK2/JAK1 inhibitor for autoimmune diseases (Psoriasis, RA). TLL-041: Brain-penetrant dual TYK2/JAK1 inhibitor.</t>
        </is>
      </c>
      <c r="N70" s="58" t="n"/>
    </row>
    <row r="71" outlineLevel="1" ht="12" customHeight="1">
      <c r="A71" s="15" t="n"/>
      <c r="B71" s="29" t="inlineStr">
        <is>
          <t>Expiring in 4 month</t>
        </is>
      </c>
      <c r="C71" s="57" t="n">
        <v>45700</v>
      </c>
      <c r="D71" s="58" t="inlineStr">
        <is>
          <t>Pharmeyes Cayman Holding Limited</t>
        </is>
      </c>
      <c r="E71" s="58" t="inlineStr">
        <is>
          <t>倍通數智開曼控股有限公司</t>
        </is>
      </c>
      <c r="F71" s="6" t="n"/>
      <c r="G71" s="58" t="n"/>
      <c r="H71" s="58" t="inlineStr">
        <is>
          <t>Healthcare Tech</t>
        </is>
      </c>
      <c r="I71" s="58" t="inlineStr">
        <is>
          <t>CCBI</t>
        </is>
      </c>
      <c r="J71" s="12" t="n">
        <v>243.443</v>
      </c>
      <c r="K71" s="12" t="n">
        <v>49.297</v>
      </c>
      <c r="L71" s="12" t="n">
        <v>75.753</v>
      </c>
      <c r="M71" s="58" t="inlineStr">
        <is>
          <t>Intelligent Data Platform: Provides data-driven solutions for the healthcare industry (Pharma/MedTech). Core product is the Direct Channel Data Connection (DDI) solution for supply chain data governance and risk management.</t>
        </is>
      </c>
      <c r="N71" s="58" t="n"/>
    </row>
    <row r="72" outlineLevel="1" ht="12" customHeight="1">
      <c r="A72" s="15" t="n"/>
      <c r="B72" s="29" t="inlineStr">
        <is>
          <t>Expiring in 4 month</t>
        </is>
      </c>
      <c r="C72" s="57" t="n">
        <v>45669</v>
      </c>
      <c r="D72" s="58" t="inlineStr">
        <is>
          <t>Ganzhou Hemay Pharmaceutical Co., Ltd. - B</t>
        </is>
      </c>
      <c r="E72" s="58" t="inlineStr">
        <is>
          <t>贛州和美藥業股份有限公司</t>
        </is>
      </c>
      <c r="F72" s="6" t="n"/>
      <c r="G72" s="58" t="n"/>
      <c r="H72" s="5" t="inlineStr">
        <is>
          <t>Pharma / Biotech</t>
        </is>
      </c>
      <c r="I72" s="58" t="inlineStr">
        <is>
          <t>Guotou</t>
        </is>
      </c>
      <c r="J72" s="12" t="inlineStr">
        <is>
          <t>-</t>
        </is>
      </c>
      <c r="K72" s="12" t="n">
        <v>-123.393</v>
      </c>
      <c r="L72" s="12" t="n">
        <v>149.797</v>
      </c>
      <c r="M72" s="58" t="inlineStr">
        <is>
          <t>Mufemilast (Hemay005): PDE4 inhibitor for Psoriasis (NDA submitted) and Behcet's Disease. Hemay022: Irreversible EGFR/HER2 inhibitor for Breast Cancer.</t>
        </is>
      </c>
      <c r="N72" s="58" t="n"/>
    </row>
    <row r="73" outlineLevel="1" ht="12" customHeight="1">
      <c r="A73" s="15" t="n"/>
      <c r="B73" s="29" t="inlineStr">
        <is>
          <t>Expiring in 4 month</t>
        </is>
      </c>
      <c r="C73" s="58" t="inlineStr">
        <is>
          <t>30/11/2025</t>
        </is>
      </c>
      <c r="D73" s="58" t="inlineStr">
        <is>
          <t>Lynk Pharmaceuticals Co., Ltd. - B</t>
        </is>
      </c>
      <c r="E73" s="58" t="inlineStr">
        <is>
          <t>凌科藥業(浙江)股份有限公司</t>
        </is>
      </c>
      <c r="F73" s="6" t="n"/>
      <c r="G73" s="58" t="n"/>
      <c r="H73" s="5" t="inlineStr">
        <is>
          <t>Pharma / Biotech</t>
        </is>
      </c>
      <c r="I73" s="58" t="inlineStr">
        <is>
          <t>CITIC, CCBI</t>
        </is>
      </c>
      <c r="J73" s="12" t="inlineStr">
        <is>
          <t>-</t>
        </is>
      </c>
      <c r="K73" s="12" t="n">
        <v>-312.26</v>
      </c>
      <c r="L73" s="12" t="n">
        <v>164.014</v>
      </c>
      <c r="M73" s="58" t="inlineStr">
        <is>
          <t>LNK01001: JAK1 inhibitor for Rheumatoid Arthritis, AD, and IBD (Phase III).</t>
        </is>
      </c>
      <c r="N73" s="58" t="n"/>
    </row>
    <row r="74" outlineLevel="1" ht="12" customHeight="1">
      <c r="A74" s="15" t="n"/>
      <c r="B74" s="29" t="inlineStr">
        <is>
          <t>Expiring in 4 month</t>
        </is>
      </c>
      <c r="C74" s="57" t="n">
        <v>46002</v>
      </c>
      <c r="D74" s="58" t="inlineStr">
        <is>
          <t>Zhejiang Shimai Pharmaceutical Co., Ltd. - B</t>
        </is>
      </c>
      <c r="E74" s="58" t="inlineStr">
        <is>
          <t>浙江時邁藥業股份有限公司</t>
        </is>
      </c>
      <c r="F74" s="6" t="n"/>
      <c r="G74" s="58" t="n"/>
      <c r="H74" s="5" t="inlineStr">
        <is>
          <t>Pharma / Biotech</t>
        </is>
      </c>
      <c r="I74" s="18" t="inlineStr">
        <is>
          <t>Huatai</t>
        </is>
      </c>
      <c r="J74" s="12" t="inlineStr">
        <is>
          <t>-</t>
        </is>
      </c>
      <c r="K74" s="12" t="n">
        <v>-59.899</v>
      </c>
      <c r="L74" s="12" t="n">
        <v>23.907</v>
      </c>
      <c r="M74" s="50" t="inlineStr">
        <is>
          <t>SM17: Humanized antibody (Target: IL-25/IL-17RB) for Asthma/AD.</t>
        </is>
      </c>
      <c r="N74" s="58" t="n"/>
    </row>
    <row r="75" outlineLevel="1" ht="12" customHeight="1">
      <c r="A75" s="15" t="n"/>
      <c r="B75" s="29" t="inlineStr">
        <is>
          <t>Expiring in 4 month</t>
        </is>
      </c>
      <c r="C75" s="58" t="inlineStr">
        <is>
          <t>24/11/2025</t>
        </is>
      </c>
      <c r="D75" s="5" t="inlineStr">
        <is>
          <t>Elpiscience Biopharmaceuticals, Inc.- B</t>
        </is>
      </c>
      <c r="E75" s="5" t="inlineStr">
        <is>
          <t>科望醫藥集團</t>
        </is>
      </c>
      <c r="H75" s="5" t="inlineStr">
        <is>
          <t>Pharma / Biotech</t>
        </is>
      </c>
      <c r="I75" s="5" t="inlineStr">
        <is>
          <t>CLSA</t>
        </is>
      </c>
      <c r="J75" s="12" t="n">
        <v>106.6</v>
      </c>
      <c r="K75" s="12" t="n">
        <v>-88</v>
      </c>
      <c r="L75" s="12" t="n">
        <v>32.8</v>
      </c>
      <c r="M75" s="5" t="inlineStr">
        <is>
          <t>ES104: Bispecific antibody (VEGF/DLL4) for Colorectal Cancer (Phase II).</t>
        </is>
      </c>
      <c r="N75" s="58" t="n"/>
    </row>
    <row r="76" outlineLevel="1" ht="12" customHeight="1">
      <c r="A76" s="15" t="n"/>
      <c r="B76" s="29" t="inlineStr">
        <is>
          <t>Expiring in 4 month</t>
        </is>
      </c>
      <c r="C76" s="58" t="inlineStr">
        <is>
          <t>24/11/2025</t>
        </is>
      </c>
      <c r="D76" s="58" t="inlineStr">
        <is>
          <t>Ming Yu Pharmaceutical Limited - B</t>
        </is>
      </c>
      <c r="E76" s="58" t="inlineStr">
        <is>
          <t>明宇制药有限公司</t>
        </is>
      </c>
      <c r="F76" s="6" t="n"/>
      <c r="G76" s="58" t="n"/>
      <c r="H76" s="5" t="inlineStr">
        <is>
          <t>Pharma / Biotech</t>
        </is>
      </c>
      <c r="I76" s="58" t="inlineStr">
        <is>
          <t>MS, BAML, CITIC</t>
        </is>
      </c>
      <c r="J76" s="12" t="inlineStr">
        <is>
          <t>-</t>
        </is>
      </c>
      <c r="K76" s="12" t="n">
        <v>-282.631</v>
      </c>
      <c r="L76" s="12" t="n">
        <v>29.712</v>
      </c>
      <c r="M76" s="58" t="inlineStr">
        <is>
          <t>MHB036C: TROP-2 ADC for Solid Tumors (Phase II). MHB088: PD-1/VEGF bispecific.</t>
        </is>
      </c>
      <c r="N76" s="58" t="n"/>
    </row>
    <row r="77" outlineLevel="1" ht="12" customHeight="1">
      <c r="A77" s="15" t="n"/>
      <c r="B77" s="29" t="inlineStr">
        <is>
          <t>Expiring in 4 month</t>
        </is>
      </c>
      <c r="C77" s="57" t="n">
        <v>45819</v>
      </c>
      <c r="D77" s="58" t="inlineStr">
        <is>
          <t>Kexing Biopharm Co., Ltd.</t>
        </is>
      </c>
      <c r="E77" s="58" t="inlineStr">
        <is>
          <t>科興生物製藥股份有限公司</t>
        </is>
      </c>
      <c r="F77" s="6" t="n"/>
      <c r="G77" s="58" t="n"/>
      <c r="H77" s="58" t="inlineStr">
        <is>
          <t>Pharma / Biotech</t>
        </is>
      </c>
      <c r="I77" s="58" t="inlineStr">
        <is>
          <t>China Securities</t>
        </is>
      </c>
      <c r="J77" s="12" t="n">
        <v>1406.925</v>
      </c>
      <c r="K77" s="12" t="n">
        <v>27.048</v>
      </c>
      <c r="L77" s="12" t="n">
        <v>552.952</v>
      </c>
      <c r="M77" s="58" t="inlineStr">
        <is>
          <t>Epiao (EPO): Recombinant Human Erythropoietin (Commercialized).</t>
        </is>
      </c>
      <c r="N77" s="58" t="n"/>
    </row>
    <row r="78" outlineLevel="1" ht="12" customHeight="1">
      <c r="A78" s="15" t="n"/>
      <c r="B78" s="29" t="inlineStr">
        <is>
          <t>Expiring in 4 month</t>
        </is>
      </c>
      <c r="C78" s="58" t="inlineStr">
        <is>
          <t>31/10/2025</t>
        </is>
      </c>
      <c r="D78" s="9" t="inlineStr">
        <is>
          <t>Alebund Pharmaceuticals (Jiangsu) Limited - B</t>
        </is>
      </c>
      <c r="E78" s="9" t="inlineStr">
        <is>
          <t>禮邦醫藥(江蘇)股份有限公司</t>
        </is>
      </c>
      <c r="F78" s="11" t="inlineStr">
        <is>
          <t>H-share</t>
        </is>
      </c>
      <c r="G78" s="9" t="inlineStr">
        <is>
          <t>Phase 3, AP301 (Phosphate binder for hyperphosphatemia)</t>
        </is>
      </c>
      <c r="H78" s="58" t="inlineStr">
        <is>
          <t>Pharma / Biotech</t>
        </is>
      </c>
      <c r="I78" s="58" t="inlineStr">
        <is>
          <t>Jefferies, BAML, Huatai</t>
        </is>
      </c>
      <c r="J78" s="12" t="n">
        <v>6.525</v>
      </c>
      <c r="K78" s="12" t="n">
        <v>-335.13</v>
      </c>
      <c r="L78" s="12" t="n">
        <v>343.77</v>
      </c>
      <c r="M78" s="58" t="inlineStr">
        <is>
          <t>TMX-049: TRPC5 inhibitor for Kidney Disease.</t>
        </is>
      </c>
      <c r="N78" s="58" t="n"/>
    </row>
    <row r="79" outlineLevel="1" ht="12" customHeight="1">
      <c r="A79" s="15" t="n"/>
      <c r="B79" s="29" t="inlineStr">
        <is>
          <t>Expiring in 4 month</t>
        </is>
      </c>
      <c r="C79" s="58" t="inlineStr">
        <is>
          <t>30/10/2025</t>
        </is>
      </c>
      <c r="D79" s="58" t="inlineStr">
        <is>
          <t>BrightGene Bio-Medical Technology Co., Ltd.</t>
        </is>
      </c>
      <c r="E79" s="58" t="inlineStr">
        <is>
          <t>博瑞生物醫藥（蘇州）股份有限公司</t>
        </is>
      </c>
      <c r="F79" s="6" t="n"/>
      <c r="G79" s="58" t="n"/>
      <c r="H79" s="58" t="inlineStr">
        <is>
          <t>Pharma / Biotech</t>
        </is>
      </c>
      <c r="I79" s="18" t="inlineStr">
        <is>
          <t>Huatai</t>
        </is>
      </c>
      <c r="J79" s="12" t="n">
        <v>1254.868</v>
      </c>
      <c r="K79" s="12" t="n">
        <v>141.263</v>
      </c>
      <c r="L79" s="12" t="n">
        <v>754.102</v>
      </c>
      <c r="M79" s="58" t="inlineStr">
        <is>
          <t>Caspofungin / Entecavir: Complex generics &amp; APIs. GLP-1 drugs</t>
        </is>
      </c>
      <c r="N79" s="58" t="n"/>
    </row>
    <row r="80" outlineLevel="1" ht="12" customHeight="1">
      <c r="A80" s="15" t="n"/>
      <c r="B80" s="29" t="inlineStr">
        <is>
          <t>Expiring in 4 month</t>
        </is>
      </c>
      <c r="C80" s="57" t="n">
        <v>45941</v>
      </c>
      <c r="D80" s="58" t="inlineStr">
        <is>
          <t>Shenzhen Mindray Bio-Medical Electronics Co., Ltd.</t>
        </is>
      </c>
      <c r="E80" s="58" t="inlineStr">
        <is>
          <t>深圳邁瑞生物醫療電子股份有限公司</t>
        </is>
      </c>
      <c r="F80" s="6" t="n"/>
      <c r="G80" s="58" t="n"/>
      <c r="H80" s="58" t="inlineStr">
        <is>
          <t>MedTech</t>
        </is>
      </c>
      <c r="I80" s="18" t="inlineStr">
        <is>
          <t>Huatai, JPM</t>
        </is>
      </c>
      <c r="J80" s="12" t="n">
        <v>36725.75</v>
      </c>
      <c r="K80" s="12" t="n">
        <v>11739.966</v>
      </c>
      <c r="L80" s="12" t="n">
        <v>14907.726</v>
      </c>
      <c r="M80" s="58" t="inlineStr">
        <is>
          <t>Patient Monitoring, IVD, Medical Imaging Systems.</t>
        </is>
      </c>
      <c r="N80" s="58" t="n"/>
    </row>
    <row r="81" outlineLevel="1" ht="12" customHeight="1">
      <c r="A81" s="15" t="n"/>
      <c r="B81" s="29" t="inlineStr">
        <is>
          <t>Expiring in 4 month</t>
        </is>
      </c>
      <c r="C81" s="57" t="n">
        <v>45911</v>
      </c>
      <c r="D81" s="58" t="inlineStr">
        <is>
          <t>Genuine Biotech Limited - B</t>
        </is>
      </c>
      <c r="E81" s="58" t="inlineStr">
        <is>
          <t>真實生物科技有限公司</t>
        </is>
      </c>
      <c r="F81" s="6" t="n"/>
      <c r="G81" s="58" t="n"/>
      <c r="H81" s="58" t="inlineStr">
        <is>
          <t>Pharma / Biotech</t>
        </is>
      </c>
      <c r="I81" s="58" t="inlineStr">
        <is>
          <t>CICC</t>
        </is>
      </c>
      <c r="J81" s="12" t="n">
        <v>237.868</v>
      </c>
      <c r="K81" s="12" t="n">
        <v>-40.042</v>
      </c>
      <c r="L81" s="12" t="n">
        <v>138.465</v>
      </c>
      <c r="M81" s="58" t="inlineStr">
        <is>
          <t>Azvudine: Dual target (HIV &amp; COVID-19) antiviral (Commercialized).</t>
        </is>
      </c>
      <c r="N81" s="58" t="n"/>
    </row>
    <row r="82" outlineLevel="1" ht="12" customHeight="1">
      <c r="A82" s="15" t="n"/>
      <c r="B82" s="29" t="inlineStr">
        <is>
          <t>Expiring in 4 month</t>
        </is>
      </c>
      <c r="C82" s="57" t="n">
        <v>45849</v>
      </c>
      <c r="D82" s="58" t="inlineStr">
        <is>
          <t>Nanjing Healthnice Pharmaceutical Technology Co., Ltd.</t>
        </is>
      </c>
      <c r="E82" s="58" t="inlineStr">
        <is>
          <t>南京海納醫藥科技股份有限公司</t>
        </is>
      </c>
      <c r="F82" s="6" t="n"/>
      <c r="G82" s="58" t="n"/>
      <c r="H82" s="58" t="inlineStr">
        <is>
          <t>Services (CXO)</t>
        </is>
      </c>
      <c r="I82" s="58" t="inlineStr">
        <is>
          <t>CICC</t>
        </is>
      </c>
      <c r="J82" s="12" t="n">
        <v>424.588</v>
      </c>
      <c r="K82" s="12" t="n">
        <v>53.295</v>
      </c>
      <c r="L82" s="12" t="n">
        <v>113.508</v>
      </c>
      <c r="M82" s="58" t="inlineStr">
        <is>
          <t>Service Platform: CRO services.</t>
        </is>
      </c>
      <c r="N82" s="58" t="n"/>
    </row>
    <row r="83" outlineLevel="1" ht="12" customHeight="1">
      <c r="A83" s="15" t="n"/>
      <c r="B83" s="29" t="inlineStr">
        <is>
          <t>Expiring in 4 month</t>
        </is>
      </c>
      <c r="C83" s="57" t="n">
        <v>45849</v>
      </c>
      <c r="D83" s="9" t="inlineStr">
        <is>
          <t>WinHealth International Holding Group Co., Ltd.</t>
        </is>
      </c>
      <c r="E83" s="16" t="inlineStr">
        <is>
          <t>維健國際控股集團有限公司</t>
        </is>
      </c>
      <c r="F83" s="17" t="inlineStr">
        <is>
          <t>Red Chip</t>
        </is>
      </c>
      <c r="G83" s="9" t="inlineStr">
        <is>
          <t>Commercialized, Specialty pharma platform for rare diseases.</t>
        </is>
      </c>
      <c r="H83" s="58" t="inlineStr">
        <is>
          <t>Pharma / Biotech</t>
        </is>
      </c>
      <c r="I83" s="18" t="inlineStr">
        <is>
          <t>Huatai</t>
        </is>
      </c>
      <c r="J83" s="12" t="n">
        <v>901.838</v>
      </c>
      <c r="K83" s="12" t="n">
        <v>8.573</v>
      </c>
      <c r="L83" s="12" t="n">
        <v>288.319</v>
      </c>
      <c r="M83" s="58" t="inlineStr">
        <is>
          <t>Rare disease portfolio (commercial stage assets licensed in)</t>
        </is>
      </c>
      <c r="N83" s="58" t="n"/>
    </row>
    <row r="84" outlineLevel="1" ht="12" customHeight="1">
      <c r="A84" s="15" t="n"/>
      <c r="B84" s="29" t="inlineStr">
        <is>
          <t>Expiring in 3 month</t>
        </is>
      </c>
      <c r="C84" s="58" t="inlineStr">
        <is>
          <t>31/10/2025</t>
        </is>
      </c>
      <c r="D84" s="9" t="inlineStr">
        <is>
          <t>Lupeng Pharmaceutical Ltd. - B</t>
        </is>
      </c>
      <c r="E84" s="16" t="inlineStr">
        <is>
          <t>麓鵬製藥有限公司</t>
        </is>
      </c>
      <c r="F84" s="17" t="inlineStr">
        <is>
          <t>Red Chip</t>
        </is>
      </c>
      <c r="G84" s="9" t="inlineStr">
        <is>
          <t>Phase 2, LP-168 (Next-gen BTK inhibitor)</t>
        </is>
      </c>
      <c r="H84" s="58" t="inlineStr">
        <is>
          <t>Pharma / Biotech</t>
        </is>
      </c>
      <c r="I84" s="58" t="inlineStr">
        <is>
          <t>CITIC</t>
        </is>
      </c>
      <c r="J84" s="12" t="inlineStr">
        <is>
          <t>-</t>
        </is>
      </c>
      <c r="K84" s="12" t="n">
        <v>-3.385</v>
      </c>
      <c r="L84" s="12" t="n">
        <v>105.833</v>
      </c>
      <c r="M84" s="58" t="inlineStr">
        <is>
          <t>LP-168: Dual Covalent/Non-cov BTK; LP-108: Bcl-2 inhibitor for B-cell malignancies (Phase III).</t>
        </is>
      </c>
      <c r="N84" s="58" t="n"/>
    </row>
    <row r="85" outlineLevel="1" ht="12" customHeight="1">
      <c r="A85" s="15" t="n"/>
      <c r="B85" s="29" t="inlineStr">
        <is>
          <t>Expiring in 3 month</t>
        </is>
      </c>
      <c r="C85" s="58" t="inlineStr">
        <is>
          <t>31/10/2025</t>
        </is>
      </c>
      <c r="D85" s="58" t="inlineStr">
        <is>
          <t>NovaBridge Biosciences - B</t>
        </is>
      </c>
      <c r="E85" s="58" t="inlineStr">
        <is>
          <t>新橋生物</t>
        </is>
      </c>
      <c r="F85" s="6" t="n"/>
      <c r="G85" s="58" t="n"/>
      <c r="H85" s="58" t="inlineStr">
        <is>
          <t>Pharma / Biotech</t>
        </is>
      </c>
      <c r="I85" s="58" t="inlineStr">
        <is>
          <t>GS, CITIC</t>
        </is>
      </c>
      <c r="J85" s="12" t="inlineStr">
        <is>
          <t>-</t>
        </is>
      </c>
      <c r="K85" s="12" t="n">
        <v>-22.23</v>
      </c>
      <c r="L85" s="12" t="n">
        <v>68.26300000000001</v>
      </c>
      <c r="M85" s="58" t="inlineStr">
        <is>
          <t>Givastomig: Claudin 18.2 x 4-1BB bispecific; Uliledlimab: CD73 antibody.</t>
        </is>
      </c>
      <c r="N85" s="58" t="n"/>
    </row>
    <row r="86" outlineLevel="1" ht="12" customHeight="1">
      <c r="A86" s="15" t="n"/>
      <c r="B86" s="29" t="inlineStr">
        <is>
          <t>Expiring in 3 month</t>
        </is>
      </c>
      <c r="C86" s="58" t="inlineStr">
        <is>
          <t>31/10/2025</t>
        </is>
      </c>
      <c r="D86" s="9" t="inlineStr">
        <is>
          <t>TriApex Laboratories Co., Ltd.</t>
        </is>
      </c>
      <c r="E86" s="9" t="inlineStr">
        <is>
          <t>江蘇鼎泰藥物研究(集團)股份有限公司</t>
        </is>
      </c>
      <c r="F86" s="11" t="inlineStr">
        <is>
          <t>H-share</t>
        </is>
      </c>
      <c r="G86" s="9" t="inlineStr">
        <is>
          <t>CRO services (Non-clinical and clinical).</t>
        </is>
      </c>
      <c r="H86" s="58" t="inlineStr">
        <is>
          <t>Services (CXO)</t>
        </is>
      </c>
      <c r="I86" s="58" t="inlineStr">
        <is>
          <t>Citi, Haitong</t>
        </is>
      </c>
      <c r="J86" s="12" t="n">
        <v>712.601</v>
      </c>
      <c r="K86" s="12" t="n">
        <v>-251.988</v>
      </c>
      <c r="L86" s="12" t="n">
        <v>369.252</v>
      </c>
      <c r="M86" s="58" t="inlineStr">
        <is>
          <t>Service Platform: Non-clinical safety assessment, GLP Labs.</t>
        </is>
      </c>
      <c r="N86" s="58" t="n"/>
    </row>
    <row r="87" outlineLevel="1" ht="12" customHeight="1">
      <c r="A87" s="15" t="n"/>
      <c r="B87" s="29" t="inlineStr">
        <is>
          <t>Expiring in 3 month</t>
        </is>
      </c>
      <c r="C87" s="4" t="inlineStr">
        <is>
          <t>14/04/2025</t>
        </is>
      </c>
      <c r="D87" s="9" t="inlineStr">
        <is>
          <t>Dermavon Holdings Limited</t>
        </is>
      </c>
      <c r="E87" s="19" t="inlineStr">
        <is>
          <t>德鎂醫藥有限公司</t>
        </is>
      </c>
      <c r="F87" s="17" t="inlineStr">
        <is>
          <t>Red Chip</t>
        </is>
      </c>
      <c r="G87" s="9" t="inlineStr">
        <is>
          <t>Commercialized. Sells prescription dermatological drugs and skincare.</t>
        </is>
      </c>
      <c r="H87" s="58" t="inlineStr">
        <is>
          <t>Pharma / Biotech</t>
        </is>
      </c>
      <c r="I87" s="18" t="inlineStr">
        <is>
          <t>Huatai</t>
        </is>
      </c>
      <c r="J87" s="12" t="n">
        <v>617.53</v>
      </c>
      <c r="K87" s="12" t="n">
        <v>-105.6</v>
      </c>
      <c r="L87" s="12" t="n">
        <v>281.86</v>
      </c>
      <c r="M87" s="5" t="inlineStr">
        <is>
          <t>Dermatology: Tildrakizumab / ruxolitinib creams (CN).</t>
        </is>
      </c>
      <c r="N87" s="20" t="inlineStr">
        <is>
          <t>Spin off of CMS's dermatology prescription and skincare products</t>
        </is>
      </c>
    </row>
    <row r="88" outlineLevel="1" ht="12" customHeight="1">
      <c r="A88" s="15" t="n"/>
      <c r="B88" s="29" t="inlineStr">
        <is>
          <t>Expiring in 3 month</t>
        </is>
      </c>
      <c r="C88" s="58" t="inlineStr">
        <is>
          <t>26/10/2025</t>
        </is>
      </c>
      <c r="D88" s="5" t="inlineStr">
        <is>
          <t>Jiangxi Institute of Biological Products Inc.</t>
        </is>
      </c>
      <c r="E88" s="5" t="inlineStr">
        <is>
          <t>江西生物製品研究所股份有限公司</t>
        </is>
      </c>
      <c r="H88" s="5" t="inlineStr">
        <is>
          <t>Pharma / Biotech</t>
        </is>
      </c>
      <c r="I88" s="5" t="inlineStr">
        <is>
          <t>CICC, CMBI</t>
        </is>
      </c>
      <c r="J88" s="12" t="n">
        <v>220.8</v>
      </c>
      <c r="K88" s="12" t="n">
        <v>75.09999999999999</v>
      </c>
      <c r="L88" s="12" t="n">
        <v>52.8</v>
      </c>
      <c r="M88" s="5" t="inlineStr">
        <is>
          <t>Tetanus Antitoxin: Market leader in China.</t>
        </is>
      </c>
      <c r="N88" s="58" t="n"/>
    </row>
    <row r="89" outlineLevel="1" ht="12" customHeight="1">
      <c r="A89" s="15" t="n"/>
      <c r="B89" s="29" t="inlineStr">
        <is>
          <t>Expiring in 3 month</t>
        </is>
      </c>
      <c r="C89" s="4" t="inlineStr">
        <is>
          <t>17/10/2025</t>
        </is>
      </c>
      <c r="D89" s="5" t="inlineStr">
        <is>
          <t>Sichuan Neautus Traditional Chinese Medicine Co., Ltd.</t>
        </is>
      </c>
      <c r="E89" s="5" t="inlineStr">
        <is>
          <t>四川新荷花中藥飲片股份有限公司</t>
        </is>
      </c>
      <c r="H89" s="5" t="inlineStr">
        <is>
          <t>Consumer Health</t>
        </is>
      </c>
      <c r="I89" s="5" t="inlineStr">
        <is>
          <t>GFH, ABCI, ICBCI</t>
        </is>
      </c>
      <c r="J89" s="12" t="n">
        <v>1249.4</v>
      </c>
      <c r="K89" s="12" t="n">
        <v>89.12</v>
      </c>
      <c r="L89" s="12" t="n">
        <v>144.31</v>
      </c>
      <c r="M89" s="5" t="inlineStr">
        <is>
          <t>TCM Decoction Pieces: Slices/Herbs. Formula granules.</t>
        </is>
      </c>
      <c r="N89" s="58" t="n"/>
    </row>
    <row r="90" outlineLevel="1" ht="12" customHeight="1">
      <c r="A90" s="15" t="n"/>
      <c r="B90" s="29" t="inlineStr">
        <is>
          <t>Expiring in 2 month</t>
        </is>
      </c>
      <c r="C90" s="58" t="inlineStr">
        <is>
          <t>30/09/2025</t>
        </is>
      </c>
      <c r="D90" s="58" t="inlineStr">
        <is>
          <t>Anhui Huaheng Biotechnology Co., Ltd.</t>
        </is>
      </c>
      <c r="E90" s="58" t="inlineStr">
        <is>
          <t>安徽華恒生物科技股份有限公司</t>
        </is>
      </c>
      <c r="F90" s="6" t="n"/>
      <c r="G90" s="58" t="n"/>
      <c r="H90" s="58" t="inlineStr">
        <is>
          <t>Pharma / Biotech</t>
        </is>
      </c>
      <c r="I90" s="18" t="inlineStr">
        <is>
          <t>Huatai</t>
        </is>
      </c>
      <c r="J90" s="12" t="n">
        <v>2177.941</v>
      </c>
      <c r="K90" s="12" t="n">
        <v>184.558</v>
      </c>
      <c r="L90" s="12" t="n">
        <v>414.959</v>
      </c>
      <c r="M90" s="58" t="inlineStr">
        <is>
          <t>Alanine Series: Global leader in bio-based Alanine production (L-Alanine). Expanding into Valine and D-Pantothenic acid. (A+H Listing)</t>
        </is>
      </c>
      <c r="N90" s="58" t="n"/>
    </row>
    <row r="91" outlineLevel="1" ht="12" customHeight="1">
      <c r="A91" s="15" t="n"/>
      <c r="B91" s="29" t="inlineStr">
        <is>
          <t>Expiring in 2 month</t>
        </is>
      </c>
      <c r="C91" s="58" t="inlineStr">
        <is>
          <t>29/09/2025</t>
        </is>
      </c>
      <c r="D91" s="58" t="inlineStr">
        <is>
          <t>Betta Pharmaceuticals Co., Ltd.</t>
        </is>
      </c>
      <c r="E91" s="58" t="inlineStr">
        <is>
          <t>貝達藥業股份有限公司</t>
        </is>
      </c>
      <c r="F91" s="6" t="n"/>
      <c r="G91" s="58" t="n"/>
      <c r="H91" s="58" t="inlineStr">
        <is>
          <t>Pharma / Biotech</t>
        </is>
      </c>
      <c r="I91" s="58" t="inlineStr">
        <is>
          <t>MS, CITIC</t>
        </is>
      </c>
      <c r="J91" s="12" t="n">
        <v>2891.95</v>
      </c>
      <c r="K91" s="12" t="n">
        <v>386.981</v>
      </c>
      <c r="L91" s="12" t="n">
        <v>471.683</v>
      </c>
      <c r="M91" s="58" t="inlineStr">
        <is>
          <t>Icotinib / Ensartinib: EGFR-TKIs for Lung Cancer (Commercial).</t>
        </is>
      </c>
      <c r="N91" s="58" t="n"/>
    </row>
    <row r="92" outlineLevel="1" ht="12" customHeight="1">
      <c r="A92" s="15" t="n"/>
      <c r="B92" s="29" t="inlineStr">
        <is>
          <t>Expiring in 2 month</t>
        </is>
      </c>
      <c r="C92" s="58" t="inlineStr">
        <is>
          <t>28/09/2025</t>
        </is>
      </c>
      <c r="D92" s="58" t="inlineStr">
        <is>
          <t>Sirius Therapeutics</t>
        </is>
      </c>
      <c r="E92" s="58" t="inlineStr">
        <is>
          <t>靖因藥業</t>
        </is>
      </c>
      <c r="F92" s="6" t="n"/>
      <c r="G92" s="58" t="n"/>
      <c r="H92" s="58" t="inlineStr">
        <is>
          <t>Pharma / Biotech</t>
        </is>
      </c>
      <c r="I92" s="58" t="inlineStr">
        <is>
          <t>GS, Haitong, HSBC</t>
        </is>
      </c>
      <c r="J92" s="12" t="inlineStr">
        <is>
          <t>-</t>
        </is>
      </c>
      <c r="K92" s="12" t="n">
        <v>-341.957</v>
      </c>
      <c r="L92" s="12" t="n">
        <v>192.583</v>
      </c>
      <c r="M92" s="58" t="inlineStr">
        <is>
          <t>SRSD107: FXI inhibitor (RNAi) for thrombosis. SRSD101: PCSK9 (RNAi) for Dyslipidemia.</t>
        </is>
      </c>
      <c r="N92" s="58" t="n"/>
    </row>
    <row r="93" outlineLevel="1" ht="12" customHeight="1">
      <c r="A93" s="15" t="n"/>
      <c r="B93" s="29" t="inlineStr">
        <is>
          <t>Expiring in 2 month</t>
        </is>
      </c>
      <c r="C93" s="58" t="inlineStr">
        <is>
          <t>29/09/2025</t>
        </is>
      </c>
      <c r="D93" s="58" t="inlineStr">
        <is>
          <t>Yantai Lannacheng Biotechnology Co., Ltd.</t>
        </is>
      </c>
      <c r="E93" s="58" t="inlineStr">
        <is>
          <t>煙臺藍納成生物技術股份有限公司</t>
        </is>
      </c>
      <c r="F93" s="6" t="n"/>
      <c r="G93" s="58" t="n"/>
      <c r="H93" s="58" t="inlineStr">
        <is>
          <t>Pharma / Biotech</t>
        </is>
      </c>
      <c r="I93" s="58" t="inlineStr">
        <is>
          <t>CICC</t>
        </is>
      </c>
      <c r="J93" s="12" t="inlineStr">
        <is>
          <t>-</t>
        </is>
      </c>
      <c r="K93" s="12" t="n">
        <v>-119.046</v>
      </c>
      <c r="L93" s="12" t="n">
        <v>42.54</v>
      </c>
      <c r="M93" s="58" t="inlineStr">
        <is>
          <t>LNC-B744: ADC targeting Nectin-4.</t>
        </is>
      </c>
      <c r="N93" s="58" t="n"/>
    </row>
    <row r="94" outlineLevel="1" ht="12" customHeight="1">
      <c r="A94" s="15" t="n"/>
      <c r="B94" s="29" t="inlineStr">
        <is>
          <t>Expiring in 2 month</t>
        </is>
      </c>
      <c r="C94" s="57" t="n">
        <v>45879</v>
      </c>
      <c r="D94" s="9" t="inlineStr">
        <is>
          <t>Eccogene Inc.</t>
        </is>
      </c>
      <c r="E94" s="16" t="inlineStr">
        <is>
          <t>誠益生物開曼有限公司</t>
        </is>
      </c>
      <c r="F94" s="17" t="inlineStr">
        <is>
          <t>Red Chip</t>
        </is>
      </c>
      <c r="G94" s="9" t="inlineStr">
        <is>
          <t>Ph1/2, ECC5004 (Oral small molecule GLP-1RA) Out-licensed to AstraZeneca.</t>
        </is>
      </c>
      <c r="H94" s="58" t="inlineStr">
        <is>
          <t>Pharma / Biotech</t>
        </is>
      </c>
      <c r="I94" s="58" t="inlineStr">
        <is>
          <t>Jefferies, BAML, CICC</t>
        </is>
      </c>
      <c r="J94" s="12" t="n">
        <v>221.291</v>
      </c>
      <c r="K94" s="12" t="n">
        <v>138.842</v>
      </c>
      <c r="L94" s="12" t="n">
        <v>96.02200000000001</v>
      </c>
      <c r="M94" s="58" t="inlineStr">
        <is>
          <t>ECC5004: Small molecule GLP-1 RA for Obesity/T2D (Phase I/II).</t>
        </is>
      </c>
      <c r="N94" s="58" t="inlineStr">
        <is>
          <t>Highlights: Licensed ECC5004 to AstraZeneca for up to $2B. Focuses on oral small molecules to replace injectables.</t>
        </is>
      </c>
    </row>
    <row r="95" outlineLevel="1" ht="12" customHeight="1">
      <c r="A95" s="15" t="n"/>
      <c r="B95" s="29" t="inlineStr">
        <is>
          <t>Expiring in 2 month</t>
        </is>
      </c>
      <c r="C95" s="58" t="inlineStr">
        <is>
          <t>30/09/2025</t>
        </is>
      </c>
      <c r="D95" s="9" t="inlineStr">
        <is>
          <t>Annoroad Gene Technology (Beijing) Co., Ltd.</t>
        </is>
      </c>
      <c r="E95" s="9" t="inlineStr">
        <is>
          <t>安諾優達基因科技（北京）股份有限公司</t>
        </is>
      </c>
      <c r="F95" s="11" t="inlineStr">
        <is>
          <t>H-share</t>
        </is>
      </c>
      <c r="G95" s="9" t="inlineStr">
        <is>
          <t>NGS technology &amp; reproductive health (NIPT).</t>
        </is>
      </c>
      <c r="H95" s="5" t="inlineStr">
        <is>
          <t>Diagnostics / Tools</t>
        </is>
      </c>
      <c r="I95" s="58" t="inlineStr">
        <is>
          <t>CCBI, Guotai</t>
        </is>
      </c>
      <c r="J95" s="12" t="n">
        <v>518.088</v>
      </c>
      <c r="K95" s="12" t="n">
        <v>-125.761</v>
      </c>
      <c r="L95" s="12" t="n">
        <v>141.202</v>
      </c>
      <c r="M95" s="58" t="inlineStr">
        <is>
          <t>Genome Sequencing / Molecular Diagnostics.</t>
        </is>
      </c>
      <c r="N95" s="58" t="n"/>
    </row>
    <row r="96" outlineLevel="1" ht="12" customHeight="1">
      <c r="A96" s="15" t="n"/>
      <c r="B96" s="29" t="inlineStr">
        <is>
          <t>Expiring in 2 month</t>
        </is>
      </c>
      <c r="C96" s="58" t="inlineStr">
        <is>
          <t>30/09/2025</t>
        </is>
      </c>
      <c r="D96" s="58" t="inlineStr">
        <is>
          <t>Good Doctor Cloud Healthcare &amp; Technology Group Co., Ltd.</t>
        </is>
      </c>
      <c r="E96" s="58" t="inlineStr">
        <is>
          <t>四川好醫生雲醫療科技集團股份有限公司</t>
        </is>
      </c>
      <c r="F96" s="6" t="n"/>
      <c r="G96" s="58" t="n"/>
      <c r="H96" s="58" t="inlineStr">
        <is>
          <t>Healthcare Tech</t>
        </is>
      </c>
      <c r="I96" s="58" t="inlineStr">
        <is>
          <t>Haitong, CITIC</t>
        </is>
      </c>
      <c r="J96" s="12" t="n">
        <v>3263.659</v>
      </c>
      <c r="K96" s="12" t="n">
        <v>37.806</v>
      </c>
      <c r="L96" s="12" t="n">
        <v>127.519</v>
      </c>
      <c r="M96" s="58" t="inlineStr">
        <is>
          <t>Digital Health / Medical Cloud</t>
        </is>
      </c>
      <c r="N96" s="58" t="inlineStr">
        <is>
          <t>Integrates online medical consultations with offline drug delivery. Strong presence in primary care and rural markets.</t>
        </is>
      </c>
    </row>
    <row r="97" outlineLevel="1" ht="12" customHeight="1">
      <c r="A97" s="15" t="n"/>
      <c r="B97" s="29" t="inlineStr">
        <is>
          <t>Expiring in 2 month</t>
        </is>
      </c>
      <c r="C97" s="58" t="inlineStr">
        <is>
          <t>28/09/2025</t>
        </is>
      </c>
      <c r="D97" s="58" t="inlineStr">
        <is>
          <t>Wuhan Ammunition Life-tech Co., Ltd. - B</t>
        </is>
      </c>
      <c r="E97" s="58" t="inlineStr">
        <is>
          <t>武漢艾米森生命科技股份有限公司</t>
        </is>
      </c>
      <c r="F97" s="6" t="n"/>
      <c r="G97" s="58" t="n"/>
      <c r="H97" s="5" t="inlineStr">
        <is>
          <t>Diagnostics / Tools</t>
        </is>
      </c>
      <c r="I97" s="58" t="inlineStr">
        <is>
          <t>CCBI, BOCOMI</t>
        </is>
      </c>
      <c r="J97" s="12" t="n">
        <v>7.238</v>
      </c>
      <c r="K97" s="12" t="n">
        <v>-38.63</v>
      </c>
      <c r="L97" s="12" t="n">
        <v>39.092</v>
      </c>
      <c r="M97" s="58" t="inlineStr">
        <is>
          <t>Colorectal Cancer Screening: Methylation PCR kits (Commercial).</t>
        </is>
      </c>
      <c r="N97" s="58" t="n"/>
    </row>
    <row r="98" outlineLevel="1" ht="12" customHeight="1">
      <c r="A98" s="15" t="n"/>
      <c r="B98" s="29" t="inlineStr">
        <is>
          <t>Expiring in 2 month</t>
        </is>
      </c>
      <c r="C98" s="58" t="inlineStr">
        <is>
          <t>31/08/2025</t>
        </is>
      </c>
      <c r="D98" s="5" t="inlineStr">
        <is>
          <t>Convalife Pharmaceuticals Co., Ltd.- B</t>
        </is>
      </c>
      <c r="E98" s="5" t="inlineStr">
        <is>
          <t>甫康生物科技（上海）股份有限公司 - B</t>
        </is>
      </c>
      <c r="H98" s="5" t="inlineStr">
        <is>
          <t>Pharma / Biotech</t>
        </is>
      </c>
      <c r="I98" s="5" t="inlineStr">
        <is>
          <t>ABCI, CMBCI, Fosun</t>
        </is>
      </c>
      <c r="J98" s="12" t="n">
        <v>17.8</v>
      </c>
      <c r="K98" s="12" t="inlineStr">
        <is>
          <t>‑75.1</t>
        </is>
      </c>
      <c r="L98" s="12" t="n">
        <v>89.3</v>
      </c>
      <c r="M98" s="5" t="inlineStr">
        <is>
          <t>PARP inhibitor CVL218 (oncology).</t>
        </is>
      </c>
      <c r="N98" s="58" t="n"/>
    </row>
    <row r="99" outlineLevel="1" ht="12" customHeight="1">
      <c r="A99" s="15" t="n"/>
      <c r="B99" s="29" t="inlineStr">
        <is>
          <t>Expiring in 1 month</t>
        </is>
      </c>
      <c r="C99" s="58" t="inlineStr">
        <is>
          <t>25/08/2025</t>
        </is>
      </c>
      <c r="D99" s="58" t="inlineStr">
        <is>
          <t>InxMed Limited - B</t>
        </is>
      </c>
      <c r="E99" s="58" t="inlineStr">
        <is>
          <t>應世生物</t>
        </is>
      </c>
      <c r="F99" s="6" t="n"/>
      <c r="G99" s="58" t="n"/>
      <c r="H99" s="58" t="inlineStr">
        <is>
          <t>Pharma / Biotech</t>
        </is>
      </c>
      <c r="I99" s="5" t="inlineStr">
        <is>
          <t>CITIC, CCBI</t>
        </is>
      </c>
      <c r="J99" s="12" t="inlineStr">
        <is>
          <t>-</t>
        </is>
      </c>
      <c r="K99" s="12" t="n">
        <v>-184.6</v>
      </c>
      <c r="L99" s="12" t="n">
        <v>97.3</v>
      </c>
      <c r="M99" s="5" t="inlineStr">
        <is>
          <t>FAK inhibitor IN10018 (oncology).</t>
        </is>
      </c>
      <c r="N99" s="58" t="n"/>
    </row>
    <row r="100" outlineLevel="1" ht="12" customHeight="1">
      <c r="A100" s="15" t="n"/>
      <c r="B100" s="29" t="inlineStr">
        <is>
          <t>Expiring in 1 month</t>
        </is>
      </c>
      <c r="C100" s="4" t="inlineStr">
        <is>
          <t>21/08/2025</t>
        </is>
      </c>
      <c r="D100" s="5" t="inlineStr">
        <is>
          <t>LongBio Pharma (Suzhou) Co., Ltd.- B</t>
        </is>
      </c>
      <c r="E100" s="5" t="inlineStr">
        <is>
          <t>天辰生物醫藥（蘇州）股份有限公司 - B</t>
        </is>
      </c>
      <c r="H100" s="5" t="inlineStr">
        <is>
          <t>Pharma / Biotech</t>
        </is>
      </c>
      <c r="I100" s="5" t="inlineStr">
        <is>
          <t>Sinolink</t>
        </is>
      </c>
      <c r="J100" s="12" t="n">
        <v>0</v>
      </c>
      <c r="K100" s="12" t="inlineStr">
        <is>
          <t>‑137.3</t>
        </is>
      </c>
      <c r="L100" s="12" t="n">
        <v>66.59999999999999</v>
      </c>
      <c r="M100" s="5" t="inlineStr">
        <is>
          <t>Biologics for autoimmune (pipeline).</t>
        </is>
      </c>
    </row>
    <row r="101" outlineLevel="1" ht="12" customHeight="1">
      <c r="A101" s="15" t="n"/>
      <c r="B101" s="29" t="inlineStr">
        <is>
          <t>Expiring in 1 month</t>
        </is>
      </c>
      <c r="C101" s="34" t="inlineStr">
        <is>
          <t>31/08/2025</t>
        </is>
      </c>
      <c r="D101" s="5" t="inlineStr">
        <is>
          <t>Convalife Pharmaceuticals Co., Ltd.- B</t>
        </is>
      </c>
      <c r="E101" s="5" t="inlineStr">
        <is>
          <t>甫康生物科技（上海）股份有限公司 - B</t>
        </is>
      </c>
      <c r="H101" s="5" t="inlineStr">
        <is>
          <t>Pharma / Biotech</t>
        </is>
      </c>
      <c r="I101" s="5" t="inlineStr">
        <is>
          <t>ABCI, CMBCI, Fosun</t>
        </is>
      </c>
      <c r="J101" s="12" t="n">
        <v>17.8</v>
      </c>
      <c r="K101" s="12" t="inlineStr">
        <is>
          <t>‑75.1</t>
        </is>
      </c>
      <c r="L101" s="12" t="n">
        <v>89.3</v>
      </c>
      <c r="M101" s="5" t="inlineStr">
        <is>
          <t>PARP inhibitor CVL218 (oncology).</t>
        </is>
      </c>
    </row>
    <row r="102" outlineLevel="1" ht="12" customHeight="1">
      <c r="A102" s="15" t="n"/>
      <c r="B102" s="29" t="inlineStr">
        <is>
          <t>Expiring in 1 month</t>
        </is>
      </c>
      <c r="C102" s="4" t="inlineStr">
        <is>
          <t>31/08/2025</t>
        </is>
      </c>
      <c r="D102" s="5" t="inlineStr">
        <is>
          <t>QingSong Health Corporation</t>
        </is>
      </c>
      <c r="E102" s="54" t="inlineStr">
        <is>
          <t>輕鬆健康集團</t>
        </is>
      </c>
      <c r="F102" s="52" t="inlineStr">
        <is>
          <t>Red Chip</t>
        </is>
      </c>
      <c r="G102" s="58" t="inlineStr">
        <is>
          <t>Commercialized. Digital health &amp; insurance.</t>
        </is>
      </c>
      <c r="H102" s="58" t="inlineStr">
        <is>
          <t>Healthcare Tech</t>
        </is>
      </c>
      <c r="I102" s="5" t="inlineStr">
        <is>
          <t>CICC, CMBI</t>
        </is>
      </c>
      <c r="J102" s="12" t="n">
        <v>945</v>
      </c>
      <c r="K102" s="12" t="n">
        <v>10.4</v>
      </c>
      <c r="L102" s="12" t="n">
        <v>362.6</v>
      </c>
      <c r="M102" s="5" t="inlineStr">
        <is>
          <t>One-stop health / insurance platform.</t>
        </is>
      </c>
    </row>
    <row r="103" outlineLevel="1" ht="12" customHeight="1">
      <c r="A103" s="15" t="n"/>
      <c r="B103" s="29" t="inlineStr">
        <is>
          <t>Expiring in 1 month</t>
        </is>
      </c>
      <c r="C103" s="4" t="inlineStr">
        <is>
          <t>31/08/2025</t>
        </is>
      </c>
      <c r="D103" s="5" t="inlineStr">
        <is>
          <t>Yeeper Nutrition Technology (Qingdao) Group Co., Ltd.</t>
        </is>
      </c>
      <c r="E103" s="5" t="inlineStr">
        <is>
          <t>宜品營養科技(青島)集團股份有限公司</t>
        </is>
      </c>
      <c r="H103" s="5" t="inlineStr">
        <is>
          <t>Consumer Health</t>
        </is>
      </c>
      <c r="I103" s="18" t="inlineStr">
        <is>
          <t>Haitong, CSCI</t>
        </is>
      </c>
      <c r="J103" s="12" t="n">
        <v>1762.2</v>
      </c>
      <c r="K103" s="12" t="n">
        <v>172.1</v>
      </c>
      <c r="L103" s="12" t="n">
        <v>337.1</v>
      </c>
      <c r="M103" s="5" t="inlineStr">
        <is>
          <t>Goat-milk &amp; FSMP nutrition.</t>
        </is>
      </c>
    </row>
    <row r="104" outlineLevel="1" ht="12" customHeight="1">
      <c r="A104" s="15" t="n"/>
      <c r="B104" s="29" t="inlineStr">
        <is>
          <t>Expiring in 1 month</t>
        </is>
      </c>
      <c r="C104" s="4" t="inlineStr">
        <is>
          <t>29/08/2025</t>
        </is>
      </c>
      <c r="D104" s="5" t="inlineStr">
        <is>
          <t>Mabwell (Shanghai) Bioscience Co., Ltd.- B</t>
        </is>
      </c>
      <c r="E104" s="5" t="inlineStr">
        <is>
          <t>邁威(上海)生物科技股份有限公司 - B</t>
        </is>
      </c>
      <c r="H104" s="5" t="inlineStr">
        <is>
          <t>Pharma / Biotech</t>
        </is>
      </c>
      <c r="I104" s="5" t="inlineStr">
        <is>
          <t>CITIC, Haitong</t>
        </is>
      </c>
      <c r="J104" s="12" t="n">
        <v>199.6</v>
      </c>
      <c r="K104" s="12" t="n">
        <v>-1043.9</v>
      </c>
      <c r="L104" s="12" t="n">
        <v>1227.6</v>
      </c>
      <c r="M104" s="5" t="inlineStr">
        <is>
          <t>ADC program 7MW4911 (CDH17).</t>
        </is>
      </c>
      <c r="Q104" s="23" t="n"/>
      <c r="R104" s="23" t="n"/>
    </row>
    <row r="105" outlineLevel="1" ht="12" customHeight="1">
      <c r="A105" s="15" t="n"/>
      <c r="B105" s="29" t="inlineStr">
        <is>
          <t>Expiring in 1 month</t>
        </is>
      </c>
      <c r="C105" s="4" t="inlineStr">
        <is>
          <t>21/08/2025</t>
        </is>
      </c>
      <c r="D105" s="5" t="inlineStr">
        <is>
          <t>Shanghai Bao Pharmaceuticals Co., Ltd.- B</t>
        </is>
      </c>
      <c r="E105" s="5" t="inlineStr">
        <is>
          <t>上海寶濟藥業股份有限公司 - B</t>
        </is>
      </c>
      <c r="H105" s="5" t="inlineStr">
        <is>
          <t>Pharma / Biotech</t>
        </is>
      </c>
      <c r="I105" s="5" t="inlineStr">
        <is>
          <t>CITIC, Haitong</t>
        </is>
      </c>
      <c r="J105" s="12" t="n">
        <v>6.16</v>
      </c>
      <c r="K105" s="12" t="inlineStr">
        <is>
          <t>‑364.433</t>
        </is>
      </c>
      <c r="L105" s="12" t="n">
        <v>524.158</v>
      </c>
      <c r="M105" s="5" t="inlineStr">
        <is>
          <t>Recombinant enzymes / rhPH20. CPHI OnlineBao Pharma</t>
        </is>
      </c>
      <c r="P105" s="23" t="n"/>
    </row>
    <row r="106" outlineLevel="1" ht="12" customHeight="1">
      <c r="A106" s="15" t="n"/>
      <c r="B106" s="29" t="inlineStr">
        <is>
          <t>Expiring in 1 month</t>
        </is>
      </c>
      <c r="C106" s="24" t="inlineStr">
        <is>
          <t>18/08/2025</t>
        </is>
      </c>
      <c r="D106" s="9" t="inlineStr">
        <is>
          <t>Huge Dental Limited</t>
        </is>
      </c>
      <c r="E106" s="10" t="inlineStr">
        <is>
          <t>滬鴿口腔</t>
        </is>
      </c>
      <c r="F106" s="11" t="inlineStr">
        <is>
          <t>H-share</t>
        </is>
      </c>
      <c r="G106" s="9" t="inlineStr">
        <is>
          <t>Commercialized. Dental materials (Synthetic teeth, aligners).</t>
        </is>
      </c>
      <c r="H106" s="5" t="inlineStr">
        <is>
          <t>MedTech</t>
        </is>
      </c>
      <c r="I106" s="5" t="inlineStr">
        <is>
          <t>CICC, DBS</t>
        </is>
      </c>
      <c r="J106" s="12" t="n">
        <v>399.44</v>
      </c>
      <c r="K106" s="12" t="n">
        <v>80.568</v>
      </c>
      <c r="L106" s="12" t="n">
        <v>273.526</v>
      </c>
      <c r="M106" s="5" t="inlineStr">
        <is>
          <t>Dental impression materials &amp; resin teeth.</t>
        </is>
      </c>
      <c r="N106" s="2" t="inlineStr">
        <is>
          <t>Elastomeric impression materials for precise impressions for crowns, bridges; Resin teeth filling; temporary crowns, bridges resin; aligners</t>
        </is>
      </c>
    </row>
    <row r="107" outlineLevel="1" ht="12" customHeight="1">
      <c r="A107" s="15" t="n"/>
      <c r="B107" s="29" t="inlineStr">
        <is>
          <t>Expiring in 1 month</t>
        </is>
      </c>
      <c r="C107" s="58" t="inlineStr">
        <is>
          <t>15/08/2025</t>
        </is>
      </c>
      <c r="D107" s="5" t="inlineStr">
        <is>
          <t>B&amp;K Corporation Limited - B</t>
        </is>
      </c>
      <c r="E107" s="5" t="inlineStr">
        <is>
          <t>華芢生物科技（青島）股份有限公司 - B</t>
        </is>
      </c>
      <c r="H107" s="5" t="inlineStr">
        <is>
          <t>Pharma / Biotech</t>
        </is>
      </c>
      <c r="I107" s="5" t="inlineStr">
        <is>
          <t>Huatai, CITIC</t>
        </is>
      </c>
      <c r="J107" s="12" t="n">
        <v>0.261</v>
      </c>
      <c r="K107" s="12" t="inlineStr">
        <is>
          <t>‑212.250</t>
        </is>
      </c>
      <c r="L107" s="12" t="n">
        <v>139.213</v>
      </c>
      <c r="M107" s="5" t="inlineStr">
        <is>
          <t>PDGF gel Pro-101-1/-2 (burns/DFU).</t>
        </is>
      </c>
    </row>
    <row r="108" outlineLevel="1" ht="12" customHeight="1">
      <c r="A108" s="15" t="n"/>
      <c r="B108" s="29" t="inlineStr">
        <is>
          <t>Expiring in 1 month</t>
        </is>
      </c>
      <c r="C108" s="57" t="n">
        <v>45999</v>
      </c>
      <c r="D108" s="5" t="inlineStr">
        <is>
          <t>Softcare Limited</t>
        </is>
      </c>
      <c r="E108" s="5" t="inlineStr">
        <is>
          <t>樂舒適有限公司</t>
        </is>
      </c>
      <c r="H108" s="5" t="inlineStr">
        <is>
          <t>Consumer Health</t>
        </is>
      </c>
      <c r="I108" s="5" t="inlineStr">
        <is>
          <t>TBD</t>
        </is>
      </c>
      <c r="J108" s="12" t="n">
        <v>411.3</v>
      </c>
      <c r="K108" s="12" t="n">
        <v>25.4</v>
      </c>
      <c r="L108" s="12" t="n">
        <v>227.1</v>
      </c>
      <c r="M108" s="5" t="inlineStr">
        <is>
          <t>Baby diapers &amp; feminine hygiene.</t>
        </is>
      </c>
      <c r="O108" s="23" t="n"/>
    </row>
    <row r="109" outlineLevel="1" ht="12" customHeight="1">
      <c r="A109" s="15" t="n"/>
      <c r="B109" s="29" t="inlineStr">
        <is>
          <t>Expiring in 1 month</t>
        </is>
      </c>
      <c r="C109" s="4" t="inlineStr">
        <is>
          <t>29/07/2025</t>
        </is>
      </c>
      <c r="D109" s="5" t="inlineStr">
        <is>
          <t>Herb Standard Holdings Limited</t>
        </is>
      </c>
      <c r="E109" s="5" t="inlineStr">
        <is>
          <t>正品控股有限公司</t>
        </is>
      </c>
      <c r="H109" s="5" t="inlineStr">
        <is>
          <t>Consumer Health</t>
        </is>
      </c>
      <c r="I109" s="5" t="inlineStr">
        <is>
          <t>Rainbow</t>
        </is>
      </c>
      <c r="J109" s="12" t="n">
        <v>121.4</v>
      </c>
      <c r="K109" s="12" t="n">
        <v>33.8</v>
      </c>
      <c r="L109" s="12" t="n">
        <v>0.76</v>
      </c>
      <c r="M109" s="5" t="inlineStr">
        <is>
          <t>OTC/senior nutrition supplements.</t>
        </is>
      </c>
    </row>
    <row r="110" outlineLevel="1" ht="12" customHeight="1">
      <c r="A110" s="15" t="n"/>
      <c r="B110" s="29" t="inlineStr">
        <is>
          <t>Expiring in 1 month</t>
        </is>
      </c>
      <c r="C110" s="26" t="n">
        <v>45816</v>
      </c>
      <c r="D110" s="5" t="inlineStr">
        <is>
          <t>Fujian Haixi Pharmaceuticals Co., Ltd.</t>
        </is>
      </c>
      <c r="E110" s="5" t="inlineStr">
        <is>
          <t>福建海西新藥創製股份有限公司</t>
        </is>
      </c>
      <c r="H110" s="5" t="inlineStr">
        <is>
          <t>Pharma / Biotech</t>
        </is>
      </c>
      <c r="I110" s="5" t="inlineStr">
        <is>
          <t>Huatai, CMBI</t>
        </is>
      </c>
      <c r="J110" s="12" t="n">
        <v>466.7</v>
      </c>
      <c r="K110" s="12" t="n">
        <v>136.1</v>
      </c>
      <c r="L110" s="12" t="n">
        <v>38.3</v>
      </c>
      <c r="M110" s="5" t="inlineStr">
        <is>
          <t>MAH generics (e.g., mosapride, cinacalcet).</t>
        </is>
      </c>
      <c r="N110" s="35" t="n"/>
      <c r="O110" s="5" t="n"/>
      <c r="P110" s="5" t="n"/>
      <c r="Q110" s="36" t="n"/>
      <c r="R110" s="35" t="n"/>
      <c r="S110" s="35" t="n"/>
      <c r="T110" s="5" t="n"/>
    </row>
    <row r="111" outlineLevel="1" ht="12" customHeight="1">
      <c r="A111" s="15" t="n"/>
      <c r="B111" s="29" t="inlineStr">
        <is>
          <t>Expiring in 1 month</t>
        </is>
      </c>
      <c r="C111" s="4" t="inlineStr">
        <is>
          <t>31/07/2025</t>
        </is>
      </c>
      <c r="D111" s="5" t="inlineStr">
        <is>
          <t>Vigonvita Life Sciences Co., Ltd.- B</t>
        </is>
      </c>
      <c r="E111" s="5" t="inlineStr">
        <is>
          <t>蘇州旺山旺水生物醫藥股份有限公司 - B</t>
        </is>
      </c>
      <c r="H111" s="5" t="inlineStr">
        <is>
          <t>Pharma / Biotech</t>
        </is>
      </c>
      <c r="I111" s="5" t="inlineStr">
        <is>
          <t>CLSA</t>
        </is>
      </c>
      <c r="J111" s="12" t="n">
        <v>11.8</v>
      </c>
      <c r="K111" s="12" t="inlineStr">
        <is>
          <t>‑211.4</t>
        </is>
      </c>
      <c r="L111" s="12" t="n">
        <v>121.1</v>
      </c>
      <c r="M111" s="5" t="inlineStr">
        <is>
          <t>Mindvy® (VV116) antiviral program.</t>
        </is>
      </c>
      <c r="N111" s="35" t="n"/>
      <c r="O111" s="18" t="n"/>
      <c r="P111" s="5" t="n"/>
      <c r="Q111" s="35" t="n"/>
      <c r="R111" s="35" t="n"/>
      <c r="S111" s="35" t="n"/>
      <c r="T111" s="5" t="n"/>
    </row>
    <row r="112" outlineLevel="1" ht="12" customHeight="1">
      <c r="A112" s="15" t="n"/>
      <c r="B112" s="29" t="inlineStr">
        <is>
          <t>Expiring in 1 month</t>
        </is>
      </c>
      <c r="C112" s="4" t="inlineStr">
        <is>
          <t>30/07/2025</t>
        </is>
      </c>
      <c r="D112" s="5" t="inlineStr">
        <is>
          <t>TenNor Therapeutics (Suzhou) Limited - B</t>
        </is>
      </c>
      <c r="E112" s="5" t="inlineStr">
        <is>
          <t>丹諾醫藥（蘇州）股份有限公司 - B</t>
        </is>
      </c>
      <c r="H112" s="5" t="inlineStr">
        <is>
          <t>Pharma / Biotech</t>
        </is>
      </c>
      <c r="I112" s="5" t="inlineStr">
        <is>
          <t>CITIC, ABCI</t>
        </is>
      </c>
      <c r="J112" s="12" t="n">
        <v>0</v>
      </c>
      <c r="K112" s="12" t="n">
        <v>-145.9</v>
      </c>
      <c r="L112" s="12" t="n">
        <v>97.8</v>
      </c>
      <c r="M112" s="5" t="inlineStr">
        <is>
          <t>Multi-target antibiotic TNP-2092.</t>
        </is>
      </c>
      <c r="N112" s="35" t="n"/>
      <c r="O112" s="18" t="n"/>
      <c r="P112" s="5" t="n"/>
      <c r="Q112" s="37" t="n"/>
      <c r="R112" s="35" t="n"/>
      <c r="S112" s="35" t="n"/>
      <c r="T112" s="38" t="n"/>
    </row>
    <row r="113" outlineLevel="1" ht="12" customHeight="1">
      <c r="A113" s="15" t="n"/>
      <c r="B113" s="29" t="inlineStr">
        <is>
          <t>Expiring in 1 month</t>
        </is>
      </c>
      <c r="C113" s="4" t="inlineStr">
        <is>
          <t>29/07/2025</t>
        </is>
      </c>
      <c r="D113" s="5" t="inlineStr">
        <is>
          <t>WenZhiTCM Inc.</t>
        </is>
      </c>
      <c r="E113" s="5" t="inlineStr">
        <is>
          <t>問止中醫</t>
        </is>
      </c>
      <c r="H113" s="5" t="inlineStr">
        <is>
          <t>Services (TCM)</t>
        </is>
      </c>
      <c r="I113" s="5" t="inlineStr">
        <is>
          <t>Haitong</t>
        </is>
      </c>
      <c r="J113" s="12" t="n">
        <v>236.4</v>
      </c>
      <c r="K113" s="12" t="n">
        <v>-45.4</v>
      </c>
      <c r="L113" s="12" t="n">
        <v>99.7</v>
      </c>
      <c r="M113" s="5" t="inlineStr">
        <is>
          <t>AI-enabled TCM care platform.</t>
        </is>
      </c>
      <c r="N113" s="35" t="n"/>
      <c r="O113" s="5" t="n"/>
      <c r="P113" s="5" t="n"/>
      <c r="Q113" s="37" t="n"/>
      <c r="R113" s="35" t="n"/>
      <c r="S113" s="35" t="n"/>
      <c r="T113" s="38" t="n"/>
    </row>
    <row r="114" outlineLevel="1" ht="12" customHeight="1">
      <c r="A114" s="15" t="n"/>
      <c r="B114" s="25" t="inlineStr">
        <is>
          <t>Lapsed</t>
        </is>
      </c>
      <c r="C114" s="4" t="inlineStr">
        <is>
          <t>14/07/2025</t>
        </is>
      </c>
      <c r="D114" s="5" t="inlineStr">
        <is>
          <t>Hunan Mabgeek Biotech Co., Ltd.- B</t>
        </is>
      </c>
      <c r="E114" s="5" t="inlineStr">
        <is>
          <t>湖南麥濟生物技術股份有限公司 - B</t>
        </is>
      </c>
      <c r="H114" s="5" t="inlineStr">
        <is>
          <t>Pharma / Biotech</t>
        </is>
      </c>
      <c r="I114" s="5" t="inlineStr">
        <is>
          <t>CICC</t>
        </is>
      </c>
      <c r="J114" s="12" t="n">
        <v>0.024</v>
      </c>
      <c r="K114" s="12" t="n">
        <v>-178.308</v>
      </c>
      <c r="L114" s="12" t="n">
        <v>2.531</v>
      </c>
      <c r="M114" s="5" t="inlineStr">
        <is>
          <t>Antibody therapies (allergy/autoimmune).</t>
        </is>
      </c>
      <c r="N114" s="35" t="n"/>
      <c r="O114" s="5" t="n"/>
      <c r="P114" s="5" t="n"/>
      <c r="Q114" s="5" t="n"/>
      <c r="R114" s="5" t="n"/>
      <c r="S114" s="5" t="n"/>
      <c r="T114" s="38" t="n"/>
    </row>
    <row r="115" outlineLevel="1" ht="12" customHeight="1">
      <c r="A115" s="15" t="n"/>
      <c r="B115" s="25" t="inlineStr">
        <is>
          <t>Lapsed</t>
        </is>
      </c>
      <c r="C115" s="26" t="inlineStr">
        <is>
          <t>27/06/2025</t>
        </is>
      </c>
      <c r="D115" s="9" t="inlineStr">
        <is>
          <t>WeiMai Inc.</t>
        </is>
      </c>
      <c r="E115" s="19" t="inlineStr">
        <is>
          <t>微脉公司</t>
        </is>
      </c>
      <c r="F115" s="17" t="inlineStr">
        <is>
          <t>Red Chip</t>
        </is>
      </c>
      <c r="G115" s="9" t="inlineStr">
        <is>
          <t>Commercialized. Digital healthcare &amp; disease management.</t>
        </is>
      </c>
      <c r="H115" s="58" t="inlineStr">
        <is>
          <t>Healthcare Tech</t>
        </is>
      </c>
      <c r="I115" s="5" t="inlineStr">
        <is>
          <t>CMBI, DB</t>
        </is>
      </c>
      <c r="J115" s="12" t="n">
        <v>652.7</v>
      </c>
      <c r="K115" s="12" t="n">
        <v>-196.4</v>
      </c>
      <c r="L115" s="12" t="n">
        <v>36.1</v>
      </c>
      <c r="M115" s="5" t="inlineStr">
        <is>
          <t>Online care &amp; patient-management platform.</t>
        </is>
      </c>
      <c r="N115" s="20" t="n"/>
      <c r="O115" s="23" t="n"/>
    </row>
    <row r="116" outlineLevel="1" ht="12" customHeight="1">
      <c r="A116" s="15" t="n"/>
      <c r="B116" s="25" t="inlineStr">
        <is>
          <t>Lapsed</t>
        </is>
      </c>
      <c r="C116" s="4" t="inlineStr">
        <is>
          <t>30/06/2025</t>
        </is>
      </c>
      <c r="D116" s="5" t="inlineStr">
        <is>
          <t>Beijing Tong Ren Tang Healthcare Investment Co., Ltd.</t>
        </is>
      </c>
      <c r="E116" s="5" t="inlineStr">
        <is>
          <t>北京同仁堂醫養投資股份有限公司</t>
        </is>
      </c>
      <c r="H116" s="5" t="inlineStr">
        <is>
          <t>Services (TCM)</t>
        </is>
      </c>
      <c r="I116" s="5" t="inlineStr">
        <is>
          <t>CICC</t>
        </is>
      </c>
      <c r="J116" s="12" t="n">
        <v>1175.1</v>
      </c>
      <c r="K116" s="12" t="n">
        <v>36.9</v>
      </c>
      <c r="L116" s="12" t="n">
        <v>296.7</v>
      </c>
      <c r="M116" s="5" t="inlineStr">
        <is>
          <t>TCM hospitals &amp; eldercare network.</t>
        </is>
      </c>
      <c r="N116" s="20" t="n"/>
    </row>
    <row r="117" outlineLevel="1" ht="12" customHeight="1">
      <c r="A117" s="15" t="n"/>
      <c r="B117" s="25" t="inlineStr">
        <is>
          <t>Lapsed</t>
        </is>
      </c>
      <c r="C117" s="4" t="inlineStr">
        <is>
          <t>30/06/2025</t>
        </is>
      </c>
      <c r="D117" s="5" t="inlineStr">
        <is>
          <t>Puxiang Healthcare Holding Limited</t>
        </is>
      </c>
      <c r="E117" s="5" t="inlineStr">
        <is>
          <t>普祥健康控股有限公司</t>
        </is>
      </c>
      <c r="H117" s="5" t="inlineStr">
        <is>
          <t>Services (hospital)</t>
        </is>
      </c>
      <c r="I117" s="5" t="inlineStr">
        <is>
          <t>Shenwan, ABCI</t>
        </is>
      </c>
      <c r="J117" s="12" t="n">
        <v>500.4</v>
      </c>
      <c r="K117" s="12" t="n">
        <v>44.4</v>
      </c>
      <c r="L117" s="12" t="n">
        <v>107.8</v>
      </c>
      <c r="M117" s="5" t="inlineStr">
        <is>
          <t>Integrated eldercare services.</t>
        </is>
      </c>
      <c r="N117" s="20" t="n"/>
    </row>
    <row r="118" outlineLevel="1" ht="12" customHeight="1">
      <c r="A118" s="15" t="n"/>
      <c r="B118" s="25" t="inlineStr">
        <is>
          <t>Lapsed</t>
        </is>
      </c>
      <c r="C118" s="4" t="inlineStr">
        <is>
          <t>29/06/2025</t>
        </is>
      </c>
      <c r="D118" s="5" t="inlineStr">
        <is>
          <t>BlissBio Inc.- B</t>
        </is>
      </c>
      <c r="E118" s="5" t="inlineStr">
        <is>
          <t>百力司康</t>
        </is>
      </c>
      <c r="H118" s="5" t="inlineStr">
        <is>
          <t>Pharma / Biotech</t>
        </is>
      </c>
      <c r="I118" s="5" t="inlineStr">
        <is>
          <t>GS, Huatai, CCBI</t>
        </is>
      </c>
      <c r="J118" s="12" t="n">
        <v>22.6</v>
      </c>
      <c r="K118" s="12" t="n">
        <v>-544.4</v>
      </c>
      <c r="L118" s="12" t="n">
        <v>431.5</v>
      </c>
      <c r="M118" s="5" t="inlineStr">
        <is>
          <t>HER2 ADC BB-1701 (oncology).</t>
        </is>
      </c>
      <c r="N118" s="20" t="n"/>
    </row>
    <row r="119" outlineLevel="1" ht="12" customHeight="1">
      <c r="A119" s="15" t="n"/>
      <c r="B119" s="25" t="inlineStr">
        <is>
          <t>Lapsed</t>
        </is>
      </c>
      <c r="C119" s="26" t="inlineStr">
        <is>
          <t>27/06/2025</t>
        </is>
      </c>
      <c r="D119" s="5" t="inlineStr">
        <is>
          <t>160 Health International Limited</t>
        </is>
      </c>
      <c r="E119" s="5" t="inlineStr">
        <is>
          <t>健康160国际有限公司</t>
        </is>
      </c>
      <c r="H119" s="58" t="inlineStr">
        <is>
          <t>Healthcare Tech</t>
        </is>
      </c>
      <c r="I119" s="5" t="inlineStr">
        <is>
          <t>Shenwan, Qingke</t>
        </is>
      </c>
      <c r="J119" s="12" t="n">
        <v>620.7</v>
      </c>
      <c r="K119" s="12" t="n">
        <v>-107.7</v>
      </c>
      <c r="L119" s="12" t="n">
        <v>58.3</v>
      </c>
      <c r="M119" s="5" t="inlineStr">
        <is>
          <t>B2B health supplies</t>
        </is>
      </c>
      <c r="N119" s="57" t="inlineStr">
        <is>
          <t>B2B healthcare supplies distribution; online platform; small B2C business in 挂号, etc,</t>
        </is>
      </c>
    </row>
    <row r="120" outlineLevel="1" ht="12" customHeight="1">
      <c r="A120" s="15" t="n"/>
      <c r="B120" s="25" t="inlineStr">
        <is>
          <t>Lapsed</t>
        </is>
      </c>
      <c r="C120" s="4" t="inlineStr">
        <is>
          <t>21/05/2025</t>
        </is>
      </c>
      <c r="D120" s="5" t="inlineStr">
        <is>
          <t>Ganzhou Hemay Pharmaceutical Co., Ltd.- B</t>
        </is>
      </c>
      <c r="E120" s="5" t="inlineStr">
        <is>
          <t>贛州和美藥業股份有限公司 - B</t>
        </is>
      </c>
      <c r="H120" s="5" t="inlineStr">
        <is>
          <t>Pharma / Biotech</t>
        </is>
      </c>
      <c r="I120" s="5" t="inlineStr">
        <is>
          <t>Guozheng</t>
        </is>
      </c>
      <c r="J120" s="12" t="n">
        <v>0</v>
      </c>
      <c r="K120" s="12" t="n">
        <v>-123.393</v>
      </c>
      <c r="L120" s="12" t="n">
        <v>149.797</v>
      </c>
      <c r="M120" s="5" t="inlineStr">
        <is>
          <t>Small-molecule pipeline (innovative).</t>
        </is>
      </c>
    </row>
    <row r="121" outlineLevel="1" ht="12" customHeight="1">
      <c r="A121" s="15" t="n"/>
      <c r="B121" s="25" t="inlineStr">
        <is>
          <t>Lapsed</t>
        </is>
      </c>
      <c r="C121" s="26" t="n">
        <v>45967</v>
      </c>
      <c r="D121" s="5" t="inlineStr">
        <is>
          <t>CF PharmTech, Inc.</t>
        </is>
      </c>
      <c r="E121" s="5" t="inlineStr">
        <is>
          <t>長風藥業股份有限公司</t>
        </is>
      </c>
      <c r="H121" s="5" t="inlineStr">
        <is>
          <t>Pharma / Biotech</t>
        </is>
      </c>
      <c r="I121" s="5" t="inlineStr">
        <is>
          <t>CITIC, CMBI</t>
        </is>
      </c>
      <c r="J121" s="12" t="n">
        <v>607.752</v>
      </c>
      <c r="K121" s="12" t="n">
        <v>21.088</v>
      </c>
      <c r="L121" s="12" t="n">
        <v>81.937</v>
      </c>
      <c r="M121" s="5" t="inlineStr">
        <is>
          <t>Inhaled respiratory products (MDI/DPI).</t>
        </is>
      </c>
      <c r="N121" s="2" t="inlineStr">
        <is>
          <t>Inhalers spray, aerosols</t>
        </is>
      </c>
    </row>
    <row r="122" outlineLevel="1" ht="12" customHeight="1">
      <c r="A122" s="15" t="n"/>
      <c r="B122" s="25" t="inlineStr">
        <is>
          <t>Lapsed</t>
        </is>
      </c>
      <c r="C122" s="4" t="inlineStr">
        <is>
          <t>26/05/2025</t>
        </is>
      </c>
      <c r="D122" s="9" t="inlineStr">
        <is>
          <t>Beijing Sinotau International Pharmaceutical Technology Co., Ltd.- B</t>
        </is>
      </c>
      <c r="E122" s="10" t="inlineStr">
        <is>
          <t>北京先通國際醫藥科技股份有限公司 - B</t>
        </is>
      </c>
      <c r="F122" s="11" t="inlineStr">
        <is>
          <t>H-share</t>
        </is>
      </c>
      <c r="G122" s="9" t="inlineStr">
        <is>
          <t>Phase 3, Radiopharmaceuticals (Amyloid PET tracer)</t>
        </is>
      </c>
      <c r="H122" s="5" t="inlineStr">
        <is>
          <t>Pharma / Biotech</t>
        </is>
      </c>
      <c r="I122" s="27" t="inlineStr">
        <is>
          <t>CICC, CITIC</t>
        </is>
      </c>
      <c r="J122" s="12" t="n">
        <v>44.1</v>
      </c>
      <c r="K122" s="12" t="n">
        <v>-149.3</v>
      </c>
      <c r="L122" s="12" t="n">
        <v>471.9</v>
      </c>
      <c r="M122" s="5" t="inlineStr">
        <is>
          <t>Radiopharmaceuticals (theragnostics).</t>
        </is>
      </c>
      <c r="O122" s="20" t="n"/>
    </row>
    <row r="123" outlineLevel="1" ht="12" customHeight="1">
      <c r="A123" s="15" t="n"/>
      <c r="B123" s="25" t="inlineStr">
        <is>
          <t>Lapsed</t>
        </is>
      </c>
      <c r="C123" s="4" t="inlineStr">
        <is>
          <t>15/05/2025</t>
        </is>
      </c>
      <c r="D123" s="5" t="inlineStr">
        <is>
          <t>Hanx Biopharmaceuticals (Wuhan) Co., Ltd.- B</t>
        </is>
      </c>
      <c r="E123" s="5" t="inlineStr">
        <is>
          <t>翰思艾泰生物醫藥科技（武漢）股份有限公司 - B</t>
        </is>
      </c>
      <c r="H123" s="5" t="inlineStr">
        <is>
          <t>Pharma / Biotech</t>
        </is>
      </c>
      <c r="I123" s="5" t="inlineStr">
        <is>
          <t>ICBCI</t>
        </is>
      </c>
      <c r="J123" s="12" t="n">
        <v>0</v>
      </c>
      <c r="K123" s="12" t="n">
        <v>-115.8</v>
      </c>
      <c r="L123" s="12" t="n">
        <v>161.2</v>
      </c>
      <c r="M123" s="5" t="inlineStr">
        <is>
          <t>IO antibodies / ADCs (oncology).</t>
        </is>
      </c>
      <c r="O123" s="20" t="n"/>
    </row>
    <row r="124" outlineLevel="1" ht="12" customHeight="1">
      <c r="A124" s="15" t="n"/>
      <c r="B124" s="25" t="inlineStr">
        <is>
          <t>Lapsed</t>
        </is>
      </c>
      <c r="C124" s="4" t="inlineStr">
        <is>
          <t>30/05/2025</t>
        </is>
      </c>
      <c r="D124" s="5" t="inlineStr">
        <is>
          <t>Sainte Nutritional Inc.</t>
        </is>
      </c>
      <c r="E124" s="5" t="inlineStr">
        <is>
          <t>聖桐特醫（青島）營養健康科技股份公司</t>
        </is>
      </c>
      <c r="H124" s="5" t="inlineStr">
        <is>
          <t>Consumer Health</t>
        </is>
      </c>
      <c r="I124" s="5" t="inlineStr">
        <is>
          <t>CITIC</t>
        </is>
      </c>
      <c r="J124" s="12" t="n">
        <v>834.1</v>
      </c>
      <c r="K124" s="12" t="n">
        <v>94.09999999999999</v>
      </c>
      <c r="L124" s="12" t="n">
        <v>162.6</v>
      </c>
      <c r="M124" s="5" t="inlineStr">
        <is>
          <t>FSMP medical nutrition products.</t>
        </is>
      </c>
    </row>
    <row r="125" outlineLevel="1" ht="12" customHeight="1">
      <c r="A125" s="15" t="n"/>
      <c r="B125" s="25" t="inlineStr">
        <is>
          <t>Lapsed</t>
        </is>
      </c>
      <c r="C125" s="26" t="n">
        <v>45813</v>
      </c>
      <c r="D125" s="5" t="inlineStr">
        <is>
          <t>Eastenova (Chengdu) Biotechnology Co., Ltd.- B</t>
        </is>
      </c>
      <c r="E125" s="5" t="inlineStr">
        <is>
          <t>東方妍美(成都)生物技術股份有限公司 - B</t>
        </is>
      </c>
      <c r="H125" s="5" t="inlineStr">
        <is>
          <t>MedTech</t>
        </is>
      </c>
      <c r="I125" s="5" t="inlineStr">
        <is>
          <t>CCBI</t>
        </is>
      </c>
      <c r="J125" s="12" t="n">
        <v>14.5</v>
      </c>
      <c r="K125" s="12" t="n">
        <v>-69.40000000000001</v>
      </c>
      <c r="L125" s="12" t="n">
        <v>33.2</v>
      </c>
      <c r="M125" s="5" t="inlineStr">
        <is>
          <t>Medical-related products; R&amp;D services.</t>
        </is>
      </c>
    </row>
    <row r="126" outlineLevel="1" ht="12" customHeight="1">
      <c r="A126" s="15" t="n"/>
      <c r="B126" s="25" t="inlineStr">
        <is>
          <t>Lapsed</t>
        </is>
      </c>
      <c r="C126" s="4" t="inlineStr">
        <is>
          <t>28/04/2025</t>
        </is>
      </c>
      <c r="D126" s="5" t="inlineStr">
        <is>
          <t>OUR United Corporation - B</t>
        </is>
      </c>
      <c r="E126" s="5" t="inlineStr">
        <is>
          <t>西安大医集团股份有限公司 - B</t>
        </is>
      </c>
      <c r="H126" s="5" t="inlineStr">
        <is>
          <t>MedTech</t>
        </is>
      </c>
      <c r="I126" s="5" t="inlineStr">
        <is>
          <t>CEBI, PUI, Minyin</t>
        </is>
      </c>
      <c r="J126" s="12" t="n">
        <v>263.6</v>
      </c>
      <c r="K126" s="12" t="n">
        <v>-97.09999999999999</v>
      </c>
      <c r="L126" s="12" t="n">
        <v>125.6</v>
      </c>
      <c r="M126" s="5" t="inlineStr">
        <is>
          <t>Integrated X/γ radiotherapy system.</t>
        </is>
      </c>
    </row>
    <row r="127" outlineLevel="1" ht="12" customHeight="1">
      <c r="A127" s="15" t="n"/>
      <c r="B127" s="25" t="inlineStr">
        <is>
          <t>Lapsed</t>
        </is>
      </c>
      <c r="C127" s="4" t="inlineStr">
        <is>
          <t>16/04/2025</t>
        </is>
      </c>
      <c r="D127" s="5" t="inlineStr">
        <is>
          <t>Axbio International Limited - B</t>
        </is>
      </c>
      <c r="E127" s="5" t="inlineStr">
        <is>
          <t>安序源科技</t>
        </is>
      </c>
      <c r="H127" s="5" t="inlineStr">
        <is>
          <t>Diagnostics / Tools</t>
        </is>
      </c>
      <c r="I127" s="5" t="inlineStr">
        <is>
          <t xml:space="preserve">CICC, PUI </t>
        </is>
      </c>
      <c r="J127" s="12" t="n">
        <v>3.44</v>
      </c>
      <c r="K127" s="12" t="n">
        <v>-168.68</v>
      </c>
      <c r="L127" s="12" t="n">
        <v>265.32</v>
      </c>
      <c r="M127" s="5" t="inlineStr">
        <is>
          <t>EL-NGS long-read platform; AxiLona EL-100 MDx.</t>
        </is>
      </c>
      <c r="N127" s="20" t="n"/>
      <c r="O127" s="20" t="n"/>
    </row>
    <row r="128" outlineLevel="1" ht="12" customHeight="1">
      <c r="A128" s="15" t="n"/>
      <c r="B128" s="25" t="inlineStr">
        <is>
          <t>Lapsed</t>
        </is>
      </c>
      <c r="C128" s="26" t="inlineStr">
        <is>
          <t>21/04/2025</t>
        </is>
      </c>
      <c r="D128" s="5" t="inlineStr">
        <is>
          <t>Nanjing Perlove Medical Equipment Co., Ltd.</t>
        </is>
      </c>
      <c r="E128" s="5" t="inlineStr">
        <is>
          <t>南京普愛醫療設備股份有限公司</t>
        </is>
      </c>
      <c r="H128" s="5" t="inlineStr">
        <is>
          <t>MedTech</t>
        </is>
      </c>
      <c r="I128" s="5" t="inlineStr">
        <is>
          <t>Guotai</t>
        </is>
      </c>
      <c r="J128" s="12" t="n">
        <v>483.71</v>
      </c>
      <c r="K128" s="12" t="n">
        <v>-44.1</v>
      </c>
      <c r="L128" s="12" t="n">
        <v>35.85</v>
      </c>
      <c r="M128" s="5" t="inlineStr">
        <is>
          <t>DR / C-arm X-ray systems.</t>
        </is>
      </c>
      <c r="N128" s="20" t="inlineStr">
        <is>
          <t>C-arm, digital x-ray imaging</t>
        </is>
      </c>
    </row>
    <row r="129" outlineLevel="1" ht="12" customHeight="1">
      <c r="A129" s="15" t="n"/>
      <c r="B129" s="25" t="inlineStr">
        <is>
          <t>Lapsed</t>
        </is>
      </c>
      <c r="C129" s="26" t="n">
        <v>45661</v>
      </c>
      <c r="D129" s="5" t="inlineStr">
        <is>
          <t>Distinct Healthcare Holdings Limited</t>
        </is>
      </c>
      <c r="E129" s="5" t="inlineStr">
        <is>
          <t>卓正醫療</t>
        </is>
      </c>
      <c r="H129" s="5" t="inlineStr">
        <is>
          <t>Services (hospital)</t>
        </is>
      </c>
      <c r="I129" s="5" t="inlineStr">
        <is>
          <t>Haitong, SPDBI, CMBI, CCBI, CGS</t>
        </is>
      </c>
      <c r="J129" s="12" t="n">
        <v>958.58</v>
      </c>
      <c r="K129" s="12" t="n">
        <v>83.81</v>
      </c>
      <c r="L129" s="12" t="n">
        <v>307.97</v>
      </c>
      <c r="M129" s="5" t="inlineStr">
        <is>
          <t>Private clinic network (multi-specialty).</t>
        </is>
      </c>
      <c r="Q129" s="23" t="n"/>
      <c r="R129" s="23" t="n"/>
    </row>
    <row r="130" outlineLevel="1" ht="12" customHeight="1">
      <c r="A130" s="15" t="n"/>
      <c r="B130" s="25" t="inlineStr">
        <is>
          <t>Lapsed</t>
        </is>
      </c>
      <c r="C130" s="4" t="inlineStr">
        <is>
          <t>21/01/2025</t>
        </is>
      </c>
      <c r="D130" s="5" t="inlineStr">
        <is>
          <t>Sichuan Biokin Pharmaceutical Co., Ltd.</t>
        </is>
      </c>
      <c r="E130" s="5" t="inlineStr">
        <is>
          <t>四川百利天恒藥業股份有限公司</t>
        </is>
      </c>
      <c r="H130" s="5" t="inlineStr">
        <is>
          <t>Pharma / Biotech</t>
        </is>
      </c>
      <c r="I130" s="5" t="inlineStr">
        <is>
          <t>GS, JPM, CITIC</t>
        </is>
      </c>
      <c r="J130" s="12" t="n">
        <v>5823</v>
      </c>
      <c r="K130" s="12" t="n">
        <v>3600</v>
      </c>
      <c r="L130" s="12" t="n">
        <v>6085.692</v>
      </c>
      <c r="M130" s="5" t="inlineStr">
        <is>
          <t>ADC/biologics (oncology).</t>
        </is>
      </c>
    </row>
    <row r="131" outlineLevel="1" ht="12" customHeight="1">
      <c r="A131" s="15" t="n"/>
      <c r="B131" s="25" t="inlineStr">
        <is>
          <t>Lapsed</t>
        </is>
      </c>
      <c r="C131" s="39" t="inlineStr">
        <is>
          <t xml:space="preserve">24/07/2025 </t>
        </is>
      </c>
      <c r="D131" s="40" t="inlineStr">
        <is>
          <t>Ab&amp;B Bio‑Tech CO., LTD. JS</t>
        </is>
      </c>
      <c r="E131" s="40" t="inlineStr">
        <is>
          <t>江蘇中慧元通生物科技股份有限公司</t>
        </is>
      </c>
      <c r="F131" s="47" t="n"/>
      <c r="G131" s="41" t="n"/>
      <c r="H131" s="40" t="inlineStr">
        <is>
          <t>Pharma / Biotech</t>
        </is>
      </c>
      <c r="I131" s="40" t="inlineStr">
        <is>
          <t>CITIC, CMBI</t>
        </is>
      </c>
      <c r="J131" s="42" t="n">
        <v>259.6</v>
      </c>
      <c r="K131" s="42" t="n">
        <v>-258.7</v>
      </c>
      <c r="L131" s="42" t="n">
        <v>132.2</v>
      </c>
      <c r="M131" s="40" t="inlineStr">
        <is>
          <t>Quadrivalent influenza subunit vaccine.</t>
        </is>
      </c>
      <c r="N131" s="41" t="n"/>
    </row>
    <row r="132" outlineLevel="1" ht="12" customHeight="1">
      <c r="B132" s="43" t="n">
        <v>2024</v>
      </c>
      <c r="C132" s="44" t="n"/>
      <c r="D132" s="45" t="n"/>
      <c r="E132" s="40" t="n"/>
      <c r="F132" s="47" t="n"/>
      <c r="G132" s="41" t="n"/>
      <c r="H132" s="40" t="n"/>
      <c r="I132" s="40" t="n"/>
      <c r="J132" s="42" t="n"/>
      <c r="K132" s="42" t="n"/>
      <c r="L132" s="42" t="n"/>
      <c r="M132" s="40" t="n"/>
    </row>
    <row r="133" outlineLevel="1" ht="12" customHeight="1">
      <c r="B133" s="2" t="inlineStr">
        <is>
          <t>Lapsed</t>
        </is>
      </c>
      <c r="C133" s="4" t="inlineStr">
        <is>
          <t>31/12/2024</t>
        </is>
      </c>
      <c r="D133" s="5" t="inlineStr">
        <is>
          <t>WeDoctor Holdings Limited †</t>
        </is>
      </c>
      <c r="E133" s="5" t="inlineStr">
        <is>
          <t>微醫控股有限公司</t>
        </is>
      </c>
      <c r="H133" s="5" t="inlineStr">
        <is>
          <t>Services</t>
        </is>
      </c>
      <c r="I133" s="5" t="inlineStr">
        <is>
          <t>CMBI</t>
        </is>
      </c>
      <c r="J133" s="12" t="n">
        <v>1863</v>
      </c>
      <c r="K133" s="12" t="n">
        <v>-1478</v>
      </c>
      <c r="L133" s="12" t="inlineStr">
        <is>
          <t>—</t>
        </is>
      </c>
      <c r="M133" s="5" t="inlineStr">
        <is>
          <t>Online hospital / digital-health platform</t>
        </is>
      </c>
    </row>
    <row r="134" outlineLevel="1" ht="12" customHeight="1">
      <c r="B134" s="2" t="inlineStr">
        <is>
          <t>IPO</t>
        </is>
      </c>
      <c r="C134" s="4" t="inlineStr">
        <is>
          <t>27/12/2024</t>
        </is>
      </c>
      <c r="D134" s="5" t="inlineStr">
        <is>
          <t>Jinfang Pharmaceutical Technology (Shanghai) Co., Ltd. †</t>
        </is>
      </c>
      <c r="E134" s="5" t="inlineStr">
        <is>
          <t>勁方醫藥科技（上海）股份有限公司</t>
        </is>
      </c>
      <c r="H134" s="5" t="inlineStr">
        <is>
          <t>Pharma</t>
        </is>
      </c>
      <c r="I134" s="5" t="inlineStr">
        <is>
          <t>CITIC</t>
        </is>
      </c>
      <c r="J134" s="12" t="n">
        <v>104.703</v>
      </c>
      <c r="K134" s="12" t="n">
        <v>-677.641</v>
      </c>
      <c r="L134" s="12" t="n">
        <v>362.125</v>
      </c>
      <c r="M134" s="5" t="inlineStr">
        <is>
          <t>KRAS-G12C inhibitor GFH925</t>
        </is>
      </c>
    </row>
    <row r="135" outlineLevel="1" ht="12" customHeight="1">
      <c r="B135" s="2" t="inlineStr">
        <is>
          <t>IPO</t>
        </is>
      </c>
      <c r="C135" s="26" t="n">
        <v>45363</v>
      </c>
      <c r="D135" s="5" t="inlineStr">
        <is>
          <t>Guangzhou Innogen Pharmaceutical Group Co., Ltd.</t>
        </is>
      </c>
      <c r="E135" s="5" t="inlineStr">
        <is>
          <t>廣州銀諾醫藥集團股份有限公司</t>
        </is>
      </c>
      <c r="H135" s="5" t="inlineStr">
        <is>
          <t>Pharma</t>
        </is>
      </c>
      <c r="I135" s="5" t="inlineStr">
        <is>
          <t xml:space="preserve">CITIC, CICC </t>
        </is>
      </c>
      <c r="J135" s="12" t="n">
        <v>54.6</v>
      </c>
      <c r="K135" s="12" t="n">
        <v>-563.2</v>
      </c>
      <c r="L135" s="12" t="n">
        <v>523.4</v>
      </c>
      <c r="M135" s="5" t="inlineStr">
        <is>
          <t>GLP-1 efsubaglutide alfa</t>
        </is>
      </c>
    </row>
    <row r="136" outlineLevel="1" ht="12" customHeight="1">
      <c r="B136" s="2" t="inlineStr">
        <is>
          <t>Lapsed</t>
        </is>
      </c>
      <c r="C136" s="26" t="n">
        <v>45334</v>
      </c>
      <c r="D136" s="5" t="inlineStr">
        <is>
          <t>Cloudbreak Pharma Inc.</t>
        </is>
      </c>
      <c r="E136" s="5" t="inlineStr">
        <is>
          <t>拨康视云</t>
        </is>
      </c>
      <c r="H136" s="5" t="inlineStr">
        <is>
          <t>Pharma</t>
        </is>
      </c>
      <c r="I136" s="5" t="inlineStr">
        <is>
          <t>CMBI</t>
        </is>
      </c>
      <c r="J136" s="12" t="n">
        <v>0</v>
      </c>
      <c r="K136" s="12" t="n">
        <v>-186.5</v>
      </c>
      <c r="L136" s="12" t="n">
        <v>159.3</v>
      </c>
      <c r="M136" s="5" t="inlineStr">
        <is>
          <t>Ophthalmology eye-drop for pterygium</t>
        </is>
      </c>
    </row>
    <row r="137" outlineLevel="1" ht="12" customHeight="1">
      <c r="B137" s="2" t="inlineStr">
        <is>
          <t>Lapsed</t>
        </is>
      </c>
      <c r="C137" s="4" t="inlineStr">
        <is>
          <t>29/11/2024</t>
        </is>
      </c>
      <c r="D137" s="5" t="inlineStr">
        <is>
          <t>Wuhan Dazhong Dental Medical Co., Ltd. †</t>
        </is>
      </c>
      <c r="E137" s="5" t="inlineStr">
        <is>
          <t>武漢大眾口腔醫療股份有限公司</t>
        </is>
      </c>
      <c r="H137" s="5" t="inlineStr">
        <is>
          <t>Services</t>
        </is>
      </c>
      <c r="I137" s="5" t="inlineStr">
        <is>
          <t>Haitong</t>
        </is>
      </c>
      <c r="J137" s="12" t="n">
        <v>1215.8</v>
      </c>
      <c r="K137" s="12" t="n">
        <v>203.7</v>
      </c>
      <c r="L137" s="12" t="n">
        <v>393.2</v>
      </c>
      <c r="M137" s="5" t="inlineStr">
        <is>
          <t>Dental clinic &amp; hospital network</t>
        </is>
      </c>
      <c r="P137" s="23" t="n"/>
    </row>
    <row r="138" outlineLevel="1" ht="12" customHeight="1">
      <c r="B138" s="2" t="inlineStr">
        <is>
          <t>IPO</t>
        </is>
      </c>
      <c r="C138" s="4" t="inlineStr">
        <is>
          <t>29/11/2024</t>
        </is>
      </c>
      <c r="D138" s="5" t="inlineStr">
        <is>
          <t>Nanjing Leads Biolabs Co., Ltd.</t>
        </is>
      </c>
      <c r="E138" s="5" t="inlineStr">
        <is>
          <t>南京維立志博生物科技股份有限公司</t>
        </is>
      </c>
      <c r="H138" s="5" t="inlineStr">
        <is>
          <t>Pharma</t>
        </is>
      </c>
      <c r="I138" s="5" t="inlineStr">
        <is>
          <t>MS, CITIC</t>
        </is>
      </c>
      <c r="J138" s="12" t="n">
        <v>21.5</v>
      </c>
      <c r="K138" s="12" t="n">
        <v>-502</v>
      </c>
      <c r="L138" s="12" t="n">
        <v>873.6</v>
      </c>
      <c r="M138" s="5" t="inlineStr">
        <is>
          <t>anti-LAG-3 mAb LBL-007</t>
        </is>
      </c>
      <c r="P138" s="23" t="n"/>
    </row>
    <row r="139" outlineLevel="1" ht="12" customHeight="1">
      <c r="B139" s="2" t="inlineStr">
        <is>
          <t>Lapsed</t>
        </is>
      </c>
      <c r="C139" s="4" t="inlineStr">
        <is>
          <t>28/11/2024</t>
        </is>
      </c>
      <c r="D139" s="5" t="inlineStr">
        <is>
          <t>Shanghai Cell Therapy Group Co., Ltd. †</t>
        </is>
      </c>
      <c r="E139" s="5" t="inlineStr">
        <is>
          <t>上海細胞治療集團股份有限公司</t>
        </is>
      </c>
      <c r="H139" s="5" t="inlineStr">
        <is>
          <t>Pharma</t>
        </is>
      </c>
      <c r="I139" s="5" t="inlineStr">
        <is>
          <t>CICC, CCBI</t>
        </is>
      </c>
      <c r="J139" s="12" t="n">
        <v>760</v>
      </c>
      <c r="K139" s="12" t="n">
        <v>-488</v>
      </c>
      <c r="L139" s="12" t="n">
        <v>350</v>
      </c>
      <c r="M139" s="5" t="inlineStr">
        <is>
          <t>Non-viral CAR-T (JL transposon)</t>
        </is>
      </c>
    </row>
    <row r="140" outlineLevel="1" ht="12" customHeight="1">
      <c r="B140" s="2" t="inlineStr">
        <is>
          <t>Lapsed</t>
        </is>
      </c>
      <c r="C140" s="26" t="n">
        <v>45967</v>
      </c>
      <c r="D140" s="5" t="inlineStr">
        <is>
          <t>Changfeng Pharmaceutical Co., Ltd. †</t>
        </is>
      </c>
      <c r="E140" s="5" t="inlineStr">
        <is>
          <t>長風藥業股份有限公司</t>
        </is>
      </c>
      <c r="H140" s="5" t="inlineStr">
        <is>
          <t>Pharma</t>
        </is>
      </c>
      <c r="I140" s="5" t="inlineStr">
        <is>
          <t>CITIC, CMBI</t>
        </is>
      </c>
      <c r="J140" s="12" t="n">
        <v>607.752</v>
      </c>
      <c r="K140" s="12" t="n">
        <v>21.088</v>
      </c>
      <c r="L140" s="12" t="n">
        <v>81.937</v>
      </c>
      <c r="M140" s="5" t="inlineStr">
        <is>
          <t>Inhaled respiratory MDIs/DPIs</t>
        </is>
      </c>
    </row>
    <row r="141" outlineLevel="1" ht="12" customHeight="1">
      <c r="B141" s="2" t="inlineStr">
        <is>
          <t>IPO</t>
        </is>
      </c>
      <c r="C141" s="26" t="inlineStr">
        <is>
          <t>25/06/2025</t>
        </is>
      </c>
      <c r="D141" s="5" t="inlineStr">
        <is>
          <t>Xuanzhu Biopharmaceutical Co., Ltd.</t>
        </is>
      </c>
      <c r="E141" s="5" t="inlineStr">
        <is>
          <t>軒竹生物科技股份有限公司</t>
        </is>
      </c>
      <c r="H141" s="5" t="inlineStr">
        <is>
          <t>Pharma</t>
        </is>
      </c>
      <c r="I141" s="5" t="inlineStr">
        <is>
          <t xml:space="preserve">CICC, CMBI </t>
        </is>
      </c>
      <c r="J141" s="12" t="n">
        <v>30.094</v>
      </c>
      <c r="K141" s="12" t="n">
        <v>-556.4299999999999</v>
      </c>
      <c r="L141" s="12" t="n">
        <v>135.249</v>
      </c>
      <c r="M141" s="5" t="inlineStr">
        <is>
          <t>CDK4/6 inhibitor bireociclib</t>
        </is>
      </c>
    </row>
    <row r="142" hidden="1" outlineLevel="2" ht="12" customHeight="1">
      <c r="B142" s="2" t="inlineStr">
        <is>
          <t>Lapsed</t>
        </is>
      </c>
      <c r="C142" s="4" t="inlineStr">
        <is>
          <t>13/06/2025</t>
        </is>
      </c>
      <c r="D142" s="5" t="inlineStr">
        <is>
          <t>Hanx Biopharmaceuticals (Wuhan) Co., Ltd.- B</t>
        </is>
      </c>
      <c r="E142" s="5" t="inlineStr">
        <is>
          <t>翰思艾泰生物醫藥科技（武漢）股份有限公司</t>
        </is>
      </c>
      <c r="H142" s="5" t="inlineStr">
        <is>
          <t>Pharma</t>
        </is>
      </c>
      <c r="I142" s="5" t="inlineStr">
        <is>
          <t>ICBCI</t>
        </is>
      </c>
      <c r="J142" s="12" t="n">
        <v>0</v>
      </c>
      <c r="K142" s="12" t="n">
        <v>-115.8</v>
      </c>
      <c r="L142" s="12" t="n">
        <v>161.2</v>
      </c>
      <c r="M142" s="5" t="inlineStr">
        <is>
          <t>IO antibodies (e.g. HX009)</t>
        </is>
      </c>
      <c r="P142" s="23" t="n"/>
    </row>
    <row r="143" hidden="1" outlineLevel="2" ht="12" customHeight="1">
      <c r="B143" s="2" t="inlineStr">
        <is>
          <t>Lapsed</t>
        </is>
      </c>
      <c r="C143" s="58" t="inlineStr">
        <is>
          <t>15/08/2025</t>
        </is>
      </c>
      <c r="D143" s="5" t="inlineStr">
        <is>
          <t>Huaren Biotech (Qingdao) Co., Ltd. †</t>
        </is>
      </c>
      <c r="E143" s="5" t="inlineStr">
        <is>
          <t>華芢生物科技（青島）股份有限公司</t>
        </is>
      </c>
      <c r="H143" s="5" t="inlineStr">
        <is>
          <t>Pharma</t>
        </is>
      </c>
      <c r="I143" s="5" t="inlineStr">
        <is>
          <t>Huatai, CITIC</t>
        </is>
      </c>
      <c r="J143" s="12" t="n">
        <v>0.261</v>
      </c>
      <c r="K143" s="12" t="inlineStr">
        <is>
          <t>‑212.250</t>
        </is>
      </c>
      <c r="L143" s="12" t="n">
        <v>139.213</v>
      </c>
      <c r="M143" s="5" t="inlineStr">
        <is>
          <t>rhPDGF-BB gel (wound healing)</t>
        </is>
      </c>
    </row>
    <row r="144" hidden="1" outlineLevel="2" ht="12" customHeight="1">
      <c r="B144" s="2" t="inlineStr">
        <is>
          <t>Lapsed</t>
        </is>
      </c>
      <c r="C144" s="26" t="n">
        <v>45843</v>
      </c>
      <c r="D144" s="5" t="inlineStr">
        <is>
          <t>Mirxes Holding Company Limited</t>
        </is>
      </c>
      <c r="E144" s="5" t="inlineStr">
        <is>
          <t>觅瑞集团控股有限公司</t>
        </is>
      </c>
      <c r="H144" s="5" t="inlineStr">
        <is>
          <t>Diagnostics</t>
        </is>
      </c>
      <c r="I144" s="5" t="inlineStr">
        <is>
          <t>CICC, CCBI</t>
        </is>
      </c>
      <c r="J144" s="12" t="n">
        <v>367.3</v>
      </c>
      <c r="K144" s="12" t="n">
        <v>-122.5</v>
      </c>
      <c r="L144" s="12" t="n">
        <v>294.7</v>
      </c>
      <c r="M144" s="5" t="inlineStr">
        <is>
          <t>GASTROClear miRNA gastric-cancer test</t>
        </is>
      </c>
    </row>
    <row r="145" hidden="1" outlineLevel="2" ht="12" customHeight="1">
      <c r="B145" s="2" t="inlineStr">
        <is>
          <t>Lapsed</t>
        </is>
      </c>
      <c r="C145" s="58" t="inlineStr">
        <is>
          <t>15/08/2025</t>
        </is>
      </c>
      <c r="D145" s="5" t="inlineStr">
        <is>
          <t>Health 160 International Limited †</t>
        </is>
      </c>
      <c r="E145" s="5" t="inlineStr">
        <is>
          <t>健康160國際有限公司</t>
        </is>
      </c>
      <c r="H145" s="5" t="inlineStr">
        <is>
          <t>Services</t>
        </is>
      </c>
      <c r="I145" s="5" t="inlineStr">
        <is>
          <t>Shenwan, Qingke</t>
        </is>
      </c>
      <c r="J145" s="12" t="n">
        <v>620.7</v>
      </c>
      <c r="K145" s="12" t="n">
        <v>-107.7</v>
      </c>
      <c r="L145" s="12" t="n">
        <v>58.3</v>
      </c>
      <c r="M145" s="5" t="inlineStr">
        <is>
          <t>Digital health platform</t>
        </is>
      </c>
      <c r="P145" s="23" t="n"/>
    </row>
    <row r="146" hidden="1" outlineLevel="2" ht="12" customHeight="1">
      <c r="B146" s="2" t="inlineStr">
        <is>
          <t>IPO</t>
        </is>
      </c>
      <c r="C146" s="26" t="n">
        <v>45361</v>
      </c>
      <c r="D146" s="5" t="inlineStr">
        <is>
          <t>BenQ Hospital Group Co., Ltd. †</t>
        </is>
      </c>
      <c r="E146" s="5" t="inlineStr">
        <is>
          <t>明基醫院集團股份有限公司</t>
        </is>
      </c>
      <c r="H146" s="5" t="inlineStr">
        <is>
          <t>Services</t>
        </is>
      </c>
      <c r="I146" s="5" t="inlineStr">
        <is>
          <t>CITIC, Citi</t>
        </is>
      </c>
      <c r="J146" s="12" t="n">
        <v>2659</v>
      </c>
      <c r="K146" s="12" t="n">
        <v>108.9</v>
      </c>
      <c r="L146" s="12" t="n">
        <v>116.9</v>
      </c>
      <c r="M146" s="18" t="inlineStr">
        <is>
          <t>General hospital group</t>
        </is>
      </c>
    </row>
    <row r="147" hidden="1" outlineLevel="2" ht="12" customHeight="1">
      <c r="B147" s="2" t="inlineStr">
        <is>
          <t>Lapsed</t>
        </is>
      </c>
      <c r="C147" s="4" t="inlineStr">
        <is>
          <t>30/09/2024</t>
        </is>
      </c>
      <c r="D147" s="5" t="inlineStr">
        <is>
          <t>Zehui Biotechnology Co., Ltd. †</t>
        </is>
      </c>
      <c r="E147" s="5" t="inlineStr">
        <is>
          <t>澤輝生物科技有限公司</t>
        </is>
      </c>
      <c r="H147" s="5" t="inlineStr">
        <is>
          <t>Pharma</t>
        </is>
      </c>
      <c r="I147" s="5" t="inlineStr">
        <is>
          <t>CICC</t>
        </is>
      </c>
      <c r="J147" s="12" t="n">
        <v>0</v>
      </c>
      <c r="K147" s="12" t="n">
        <v>-196</v>
      </c>
      <c r="L147" s="12" t="inlineStr">
        <is>
          <t>-</t>
        </is>
      </c>
      <c r="M147" s="5" t="inlineStr">
        <is>
          <t>Stem-cell therapy (PSC derived)</t>
        </is>
      </c>
      <c r="P147" s="46" t="n"/>
      <c r="R147" s="46" t="n"/>
    </row>
    <row r="148" hidden="1" outlineLevel="2" ht="12" customHeight="1">
      <c r="B148" s="2" t="inlineStr">
        <is>
          <t>Lapsed</t>
        </is>
      </c>
      <c r="C148" s="4" t="inlineStr">
        <is>
          <t>13/09/2024</t>
        </is>
      </c>
      <c r="D148" s="5" t="inlineStr">
        <is>
          <t>IVF Hospital Management Group Limited</t>
        </is>
      </c>
      <c r="E148" s="5" t="inlineStr">
        <is>
          <t>爱维艾夫医院管理集团有限公司</t>
        </is>
      </c>
      <c r="H148" s="5" t="inlineStr">
        <is>
          <t>Services</t>
        </is>
      </c>
      <c r="I148" s="5" t="inlineStr">
        <is>
          <t xml:space="preserve">CITIC </t>
        </is>
      </c>
      <c r="J148" s="12" t="n">
        <v>494</v>
      </c>
      <c r="K148" s="12" t="n">
        <v>64.7</v>
      </c>
      <c r="L148" s="12" t="n">
        <v>189</v>
      </c>
      <c r="M148" s="5" t="inlineStr">
        <is>
          <t>IVF/ART hospital network</t>
        </is>
      </c>
      <c r="P148" s="46" t="n"/>
      <c r="Q148" s="46" t="n"/>
    </row>
    <row r="149" hidden="1" outlineLevel="2" ht="12" customHeight="1">
      <c r="B149" s="2" t="inlineStr">
        <is>
          <t>IPO</t>
        </is>
      </c>
      <c r="C149" s="4" t="inlineStr">
        <is>
          <t>27/02/2025</t>
        </is>
      </c>
      <c r="D149" s="5" t="inlineStr">
        <is>
          <t>YingEn Bio Co., Ltd. †</t>
        </is>
      </c>
      <c r="E149" s="5" t="inlineStr">
        <is>
          <t>映恩生物</t>
        </is>
      </c>
      <c r="H149" s="5" t="inlineStr">
        <is>
          <t>Pharma</t>
        </is>
      </c>
      <c r="I149" s="5" t="inlineStr">
        <is>
          <t xml:space="preserve">MS, Jefferies, CITIC </t>
        </is>
      </c>
      <c r="J149" s="12" t="n">
        <v>0</v>
      </c>
      <c r="K149" s="12" t="n">
        <v>-845.9</v>
      </c>
      <c r="L149" s="12" t="n">
        <v>1214.6</v>
      </c>
      <c r="M149" s="5" t="inlineStr">
        <is>
          <t>HER2 ADC DB-1303</t>
        </is>
      </c>
      <c r="P149" s="46" t="n"/>
    </row>
    <row r="150" hidden="1" outlineLevel="2" ht="12" customHeight="1">
      <c r="B150" s="2" t="inlineStr">
        <is>
          <t>Lapsed</t>
        </is>
      </c>
      <c r="C150" s="4" t="inlineStr">
        <is>
          <t>21/01/2025</t>
        </is>
      </c>
      <c r="D150" s="5" t="inlineStr">
        <is>
          <t>Sichuan Baili Tianheng Pharmaceutical Co., Ltd. †</t>
        </is>
      </c>
      <c r="E150" s="5" t="inlineStr">
        <is>
          <t>四川百利天恒藥業股份有限公司</t>
        </is>
      </c>
      <c r="H150" s="5" t="inlineStr">
        <is>
          <t>Pharma</t>
        </is>
      </c>
      <c r="I150" s="5" t="inlineStr">
        <is>
          <t>GS, JPM, CITIC</t>
        </is>
      </c>
      <c r="J150" s="12" t="n">
        <v>5823</v>
      </c>
      <c r="K150" s="12" t="n">
        <v>3600</v>
      </c>
      <c r="L150" s="12" t="inlineStr">
        <is>
          <t>—</t>
        </is>
      </c>
      <c r="M150" s="5" t="inlineStr">
        <is>
          <t>ADC/biologics pipeline</t>
        </is>
      </c>
      <c r="R150" s="23" t="n"/>
    </row>
    <row r="151" hidden="1" outlineLevel="2" ht="12" customHeight="1">
      <c r="B151" s="2" t="inlineStr">
        <is>
          <t>Lapsed</t>
        </is>
      </c>
      <c r="C151" s="4" t="inlineStr">
        <is>
          <t>23/05/2025</t>
        </is>
      </c>
      <c r="D151" s="5" t="inlineStr">
        <is>
          <t>Elpiscience Biopharmaceuticals, Inc.</t>
        </is>
      </c>
      <c r="E151" s="5" t="inlineStr">
        <is>
          <t>科望医药集团</t>
        </is>
      </c>
      <c r="H151" s="5" t="inlineStr">
        <is>
          <t>Pharma</t>
        </is>
      </c>
      <c r="I151" s="5" t="inlineStr">
        <is>
          <t xml:space="preserve">CLSA </t>
        </is>
      </c>
      <c r="J151" s="12" t="n">
        <v>106.6</v>
      </c>
      <c r="K151" s="12" t="inlineStr">
        <is>
          <t>‑88.0</t>
        </is>
      </c>
      <c r="L151" s="12" t="n">
        <v>32.8</v>
      </c>
      <c r="M151" s="5" t="inlineStr">
        <is>
          <t>anti-CD39 mAb ES002</t>
        </is>
      </c>
    </row>
    <row r="152" hidden="1" outlineLevel="2" ht="12" customHeight="1">
      <c r="B152" s="2" t="inlineStr">
        <is>
          <t>IPO</t>
        </is>
      </c>
      <c r="C152" s="4" t="inlineStr">
        <is>
          <t>30/12/2024</t>
        </is>
      </c>
      <c r="D152" s="5" t="inlineStr">
        <is>
          <t>TransThera Sciences (Nanjing), Inc. †</t>
        </is>
      </c>
      <c r="E152" s="5" t="inlineStr">
        <is>
          <t>藥捷安康（南京）科技股份有限公司</t>
        </is>
      </c>
      <c r="H152" s="5" t="inlineStr">
        <is>
          <t>Pharma</t>
        </is>
      </c>
      <c r="I152" s="5" t="inlineStr">
        <is>
          <t>CITIC, Huatai</t>
        </is>
      </c>
      <c r="J152" s="12" t="n">
        <v>35.5</v>
      </c>
      <c r="K152" s="12" t="n">
        <v>-482.7</v>
      </c>
      <c r="L152" s="12" t="n">
        <v>649.2</v>
      </c>
      <c r="M152" s="5" t="inlineStr">
        <is>
          <t>Multi-target kinase inhibitor TT-00420</t>
        </is>
      </c>
    </row>
    <row r="153" hidden="1" outlineLevel="2" ht="12" customHeight="1">
      <c r="B153" s="2" t="inlineStr">
        <is>
          <t>Lapsed</t>
        </is>
      </c>
      <c r="C153" s="4" t="inlineStr">
        <is>
          <t>29/07/2025</t>
        </is>
      </c>
      <c r="D153" s="5" t="inlineStr">
        <is>
          <t>Distinct Healthcare Holdings Limited</t>
        </is>
      </c>
      <c r="E153" s="5" t="inlineStr">
        <is>
          <t>卓正医疗控股有限公司</t>
        </is>
      </c>
      <c r="H153" s="5" t="inlineStr">
        <is>
          <t>Services</t>
        </is>
      </c>
      <c r="I153" s="5" t="inlineStr">
        <is>
          <t>Haitong, SPDBI, CMBI, CCBI, CGS</t>
        </is>
      </c>
      <c r="J153" s="12" t="n">
        <v>958.6</v>
      </c>
      <c r="K153" s="12" t="n">
        <v>83.8</v>
      </c>
      <c r="L153" s="12" t="n">
        <v>308</v>
      </c>
      <c r="M153" s="5" t="inlineStr">
        <is>
          <t>Private multi-specialty clinics</t>
        </is>
      </c>
      <c r="R153" s="23" t="n"/>
    </row>
    <row r="154" hidden="1" outlineLevel="2" ht="12" customHeight="1">
      <c r="B154" s="2" t="inlineStr">
        <is>
          <t>Lapsed</t>
        </is>
      </c>
      <c r="C154" s="4" t="inlineStr">
        <is>
          <t>30/04/2024</t>
        </is>
      </c>
      <c r="D154" s="5" t="inlineStr">
        <is>
          <t>Youxun Medical Biotechnology Co., Ltd. †</t>
        </is>
      </c>
      <c r="E154" s="5" t="inlineStr">
        <is>
          <t>優迅醫學生物科技</t>
        </is>
      </c>
      <c r="H154" s="5" t="inlineStr">
        <is>
          <t>Diagnostics</t>
        </is>
      </c>
      <c r="I154" s="5" t="inlineStr">
        <is>
          <t>CICC</t>
        </is>
      </c>
      <c r="J154" s="12" t="n">
        <v>471</v>
      </c>
      <c r="K154" s="12" t="n">
        <v>-164</v>
      </c>
      <c r="L154" s="12" t="n">
        <v>33.042</v>
      </c>
      <c r="M154" s="5" t="inlineStr">
        <is>
          <t>NIPT / maternal-fetal genetic tests</t>
        </is>
      </c>
    </row>
    <row r="155" hidden="1" outlineLevel="2" ht="12" customHeight="1">
      <c r="B155" s="2" t="inlineStr">
        <is>
          <t>Lapsed</t>
        </is>
      </c>
      <c r="C155" s="4" t="inlineStr">
        <is>
          <t>28/03/2024</t>
        </is>
      </c>
      <c r="D155" s="5" t="inlineStr">
        <is>
          <t>BrainAurora Medical Technology Limited</t>
        </is>
      </c>
      <c r="E155" s="5" t="inlineStr">
        <is>
          <t>脑动极光医疗科技有限公司</t>
        </is>
      </c>
      <c r="H155" s="5" t="inlineStr">
        <is>
          <t>MedTech</t>
        </is>
      </c>
      <c r="I155" s="5" t="inlineStr">
        <is>
          <t>CICC, SPDBI</t>
        </is>
      </c>
      <c r="J155" s="12" t="n">
        <v>8.9</v>
      </c>
      <c r="K155" s="12" t="n">
        <v>-83.2</v>
      </c>
      <c r="L155" s="12" t="n">
        <v>23.5</v>
      </c>
      <c r="M155" s="5" t="inlineStr">
        <is>
          <t>Digital therapy for cognitive impairment</t>
        </is>
      </c>
    </row>
    <row r="156" hidden="1" outlineLevel="2" ht="12" customHeight="1">
      <c r="B156" s="2" t="inlineStr">
        <is>
          <t>IPO</t>
        </is>
      </c>
      <c r="C156" s="4" t="inlineStr">
        <is>
          <t>27/03/2024</t>
        </is>
      </c>
      <c r="D156" s="5" t="inlineStr">
        <is>
          <t>InSilico Medicine Cayman TopCo</t>
        </is>
      </c>
      <c r="E156" s="5" t="inlineStr">
        <is>
          <t>英矽智能</t>
        </is>
      </c>
      <c r="H156" s="5" t="inlineStr">
        <is>
          <t>Services</t>
        </is>
      </c>
      <c r="I156" s="5" t="inlineStr">
        <is>
          <t>MS, CICC, GFHK, BNP</t>
        </is>
      </c>
      <c r="J156" s="12" t="n">
        <v>61.7</v>
      </c>
      <c r="K156" s="12" t="n">
        <v>-625.4</v>
      </c>
      <c r="L156" s="12" t="n">
        <v>1003.8</v>
      </c>
      <c r="M156" s="5" t="inlineStr">
        <is>
          <t>INS018_055 (IPF small-molecule)</t>
        </is>
      </c>
    </row>
    <row r="157" hidden="1" outlineLevel="2" ht="12" customHeight="1">
      <c r="B157" s="2" t="inlineStr">
        <is>
          <t>Lapsed</t>
        </is>
      </c>
      <c r="C157" s="4" t="inlineStr">
        <is>
          <t>27/03/2024</t>
        </is>
      </c>
      <c r="D157" s="5" t="inlineStr">
        <is>
          <t>Shulan Healthcare Management Co., Ltd. †</t>
        </is>
      </c>
      <c r="E157" s="5" t="inlineStr">
        <is>
          <t>樹蘭醫療管理股份有限公司</t>
        </is>
      </c>
      <c r="H157" s="5" t="inlineStr">
        <is>
          <t>Services</t>
        </is>
      </c>
      <c r="I157" s="5" t="inlineStr">
        <is>
          <t>CICC, CITIC</t>
        </is>
      </c>
      <c r="J157" s="12" t="n">
        <v>1880</v>
      </c>
      <c r="K157" s="12" t="n">
        <v>-17.252</v>
      </c>
      <c r="L157" s="12" t="inlineStr">
        <is>
          <t>-</t>
        </is>
      </c>
      <c r="M157" s="5" t="inlineStr">
        <is>
          <t>Tertiary general hospitals &amp; management</t>
        </is>
      </c>
    </row>
    <row r="158" hidden="1" outlineLevel="2" ht="12" customHeight="1">
      <c r="B158" s="2" t="inlineStr">
        <is>
          <t>IPO</t>
        </is>
      </c>
      <c r="C158" s="4" t="inlineStr">
        <is>
          <t>21/03/2024</t>
        </is>
      </c>
      <c r="D158" s="5" t="inlineStr">
        <is>
          <t>VISEN Pharmaceutical Co., Ltd. †</t>
        </is>
      </c>
      <c r="E158" s="5" t="inlineStr">
        <is>
          <t>維昇藥業</t>
        </is>
      </c>
      <c r="H158" s="5" t="inlineStr">
        <is>
          <t>Pharma</t>
        </is>
      </c>
      <c r="I158" s="5" t="inlineStr">
        <is>
          <t>MS, Jefferies</t>
        </is>
      </c>
      <c r="J158" s="12" t="n">
        <v>2.78</v>
      </c>
      <c r="K158" s="12" t="n">
        <v>-182.24</v>
      </c>
      <c r="L158" s="12" t="n">
        <v>626.46</v>
      </c>
      <c r="M158" s="5" t="inlineStr">
        <is>
          <t>Long-acting hGH lonapegsomatropin</t>
        </is>
      </c>
      <c r="O158" s="23" t="n"/>
    </row>
    <row r="159" hidden="1" outlineLevel="2" ht="12" customHeight="1">
      <c r="B159" s="2" t="inlineStr">
        <is>
          <t>Lapsed</t>
        </is>
      </c>
      <c r="C159" s="4" t="inlineStr">
        <is>
          <t xml:space="preserve">31/01/2024 </t>
        </is>
      </c>
      <c r="D159" s="5" t="inlineStr">
        <is>
          <t>Lu Daopei Medical Group †</t>
        </is>
      </c>
      <c r="E159" s="5" t="inlineStr">
        <is>
          <t>陸道培醫療集團</t>
        </is>
      </c>
      <c r="H159" s="18" t="inlineStr">
        <is>
          <t>Services</t>
        </is>
      </c>
      <c r="I159" s="5" t="inlineStr">
        <is>
          <t>CITIC, CMBI, Macquarie</t>
        </is>
      </c>
      <c r="J159" s="12" t="n">
        <v>1677.3</v>
      </c>
      <c r="K159" s="12" t="n">
        <v>-547.3</v>
      </c>
      <c r="L159" s="12" t="n">
        <v>79.8</v>
      </c>
      <c r="M159" s="5" t="inlineStr">
        <is>
          <t>Hematology &amp; bone-marrow transplant hospitals</t>
        </is>
      </c>
    </row>
    <row r="160" hidden="1" outlineLevel="2" ht="12" customHeight="1">
      <c r="B160" s="2" t="inlineStr">
        <is>
          <t>Lapsed</t>
        </is>
      </c>
      <c r="C160" s="34" t="inlineStr">
        <is>
          <t xml:space="preserve">29/01/2024 </t>
        </is>
      </c>
      <c r="D160" s="5" t="inlineStr">
        <is>
          <t>Zhejiang Taimei Medical Technology Co., Ltd. †</t>
        </is>
      </c>
      <c r="E160" s="5" t="inlineStr">
        <is>
          <t>浙江太美醫療科技股份有限公司</t>
        </is>
      </c>
      <c r="H160" s="5" t="inlineStr">
        <is>
          <t>Services</t>
        </is>
      </c>
      <c r="I160" s="5" t="inlineStr">
        <is>
          <t>MS, CICC</t>
        </is>
      </c>
      <c r="J160" s="12" t="n">
        <v>573.1</v>
      </c>
      <c r="K160" s="12" t="n">
        <v>-356.4</v>
      </c>
      <c r="L160" s="12" t="n">
        <v>419.5</v>
      </c>
      <c r="M160" s="5" t="inlineStr">
        <is>
          <t>eClinical SaaS (TrialOS)</t>
        </is>
      </c>
    </row>
    <row r="161" hidden="1" outlineLevel="2" ht="12" customHeight="1">
      <c r="B161" s="2" t="inlineStr">
        <is>
          <t>Lapsed</t>
        </is>
      </c>
      <c r="C161" s="4" t="inlineStr">
        <is>
          <t xml:space="preserve">29/01/2024 </t>
        </is>
      </c>
      <c r="D161" s="5" t="inlineStr">
        <is>
          <t>Beijing KangLeWeiShi Biotechnology Co., Ltd. †</t>
        </is>
      </c>
      <c r="E161" s="5" t="inlineStr">
        <is>
          <t>北京康樂衛士生物技術股份有限公司</t>
        </is>
      </c>
      <c r="H161" s="5" t="inlineStr">
        <is>
          <t>Pharma</t>
        </is>
      </c>
      <c r="I161" s="5" t="inlineStr">
        <is>
          <t>CITIC, CCBI</t>
        </is>
      </c>
      <c r="J161" s="12" t="n">
        <v>0.886</v>
      </c>
      <c r="K161" s="12" t="n">
        <v>-356.606</v>
      </c>
      <c r="L161" s="12" t="n">
        <v>77.76900000000001</v>
      </c>
      <c r="M161" s="5" t="inlineStr">
        <is>
          <t>HPV vaccines</t>
        </is>
      </c>
      <c r="O161" s="23" t="n"/>
    </row>
    <row r="162" hidden="1" outlineLevel="2" ht="12" customHeight="1">
      <c r="B162" s="2" t="inlineStr">
        <is>
          <t>Lapsed</t>
        </is>
      </c>
      <c r="C162" s="4" t="inlineStr">
        <is>
          <t xml:space="preserve">26/01/2024 </t>
        </is>
      </c>
      <c r="D162" s="5" t="inlineStr">
        <is>
          <t>Zhejiang Tongyuankang Pharmaceutical Co., Ltd. †</t>
        </is>
      </c>
      <c r="E162" s="5" t="inlineStr">
        <is>
          <t>浙江同源康醫藥股份有限公司</t>
        </is>
      </c>
      <c r="H162" s="18" t="inlineStr">
        <is>
          <t>Pharma</t>
        </is>
      </c>
      <c r="I162" s="5" t="inlineStr">
        <is>
          <t>CITIC</t>
        </is>
      </c>
      <c r="J162" s="12" t="n">
        <v>0</v>
      </c>
      <c r="K162" s="12" t="n">
        <v>-383.171</v>
      </c>
      <c r="L162" s="12" t="n">
        <v>186.83</v>
      </c>
      <c r="M162" s="5" t="inlineStr">
        <is>
          <t>3rd-gen EGFR-TKI TY-9591</t>
        </is>
      </c>
      <c r="O162" s="23" t="n"/>
    </row>
    <row r="163" hidden="1" outlineLevel="2" ht="12" customHeight="1">
      <c r="B163" s="2" t="inlineStr">
        <is>
          <t>Lapsed</t>
        </is>
      </c>
      <c r="C163" s="4" t="inlineStr">
        <is>
          <t>26/07/2024</t>
        </is>
      </c>
      <c r="D163" s="5" t="inlineStr">
        <is>
          <t>iFLYTEK Healthcare Technology Co., Ltd. †</t>
        </is>
      </c>
      <c r="E163" s="5" t="inlineStr">
        <is>
          <t>訊飛醫療科技股份有限公司</t>
        </is>
      </c>
      <c r="H163" s="18" t="inlineStr">
        <is>
          <t>Services</t>
        </is>
      </c>
      <c r="I163" s="5" t="inlineStr">
        <is>
          <t>Huatai, GF, CCBI</t>
        </is>
      </c>
      <c r="J163" s="12" t="n">
        <v>556.125</v>
      </c>
      <c r="K163" s="12" t="n">
        <v>-154.224</v>
      </c>
      <c r="L163" s="12" t="n">
        <v>143</v>
      </c>
      <c r="M163" s="5" t="inlineStr">
        <is>
          <t>Medical LLM (Spark Medical)</t>
        </is>
      </c>
    </row>
    <row r="164" hidden="1" outlineLevel="2" ht="12" customHeight="1">
      <c r="B164" s="2" t="inlineStr">
        <is>
          <t>Lapsed</t>
        </is>
      </c>
      <c r="C164" s="4" t="inlineStr">
        <is>
          <t>24/07/2024</t>
        </is>
      </c>
      <c r="D164" s="5" t="inlineStr">
        <is>
          <t>Hangzhou Jiuyuan Gene Engineering Co., Ltd. †</t>
        </is>
      </c>
      <c r="E164" s="5" t="inlineStr">
        <is>
          <t>杭州九源基因工程股份有限公司</t>
        </is>
      </c>
      <c r="H164" s="5" t="inlineStr">
        <is>
          <t>MedTech</t>
        </is>
      </c>
      <c r="I164" s="5" t="inlineStr">
        <is>
          <t>Huatai</t>
        </is>
      </c>
      <c r="J164" s="12" t="n">
        <v>1287.4</v>
      </c>
      <c r="K164" s="12" t="n">
        <v>119.8</v>
      </c>
      <c r="L164" s="12" t="n">
        <v>93.2</v>
      </c>
      <c r="M164" s="5" t="inlineStr">
        <is>
          <t>rhBMP-2 bone-repair implant</t>
        </is>
      </c>
    </row>
    <row r="165" hidden="1" outlineLevel="2" ht="12" customHeight="1">
      <c r="B165" s="2" t="inlineStr">
        <is>
          <t>Lapsed</t>
        </is>
      </c>
      <c r="C165" s="26" t="n">
        <v>45608</v>
      </c>
      <c r="D165" s="5" t="inlineStr">
        <is>
          <t>Guangdong Dongyangguang Pharmaceutical Co., Ltd. †</t>
        </is>
      </c>
      <c r="E165" s="5" t="inlineStr">
        <is>
          <t>廣東東陽光藥業股份有限公司</t>
        </is>
      </c>
      <c r="H165" s="5" t="inlineStr">
        <is>
          <t>Pharma</t>
        </is>
      </c>
      <c r="I165" s="5" t="inlineStr">
        <is>
          <t>CICC</t>
        </is>
      </c>
      <c r="J165" s="12" t="n">
        <v>2582</v>
      </c>
      <c r="K165" s="12" t="n">
        <v>473</v>
      </c>
      <c r="L165" s="12" t="n">
        <v>1480</v>
      </c>
      <c r="M165" s="5" t="inlineStr">
        <is>
          <t>Oseltamivir (Kewei)</t>
        </is>
      </c>
    </row>
    <row r="166" hidden="1" outlineLevel="2" ht="12" customHeight="1">
      <c r="B166" s="41" t="inlineStr">
        <is>
          <t>Lapsed</t>
        </is>
      </c>
      <c r="C166" s="44" t="inlineStr">
        <is>
          <t>31/05/2024</t>
        </is>
      </c>
      <c r="D166" s="40" t="inlineStr">
        <is>
          <t>Tide Pharmaceutical (Zhejiang) Co., Ltd. †</t>
        </is>
      </c>
      <c r="E166" s="40" t="inlineStr">
        <is>
          <t>泰德醫藥（浙江）股份有限公司</t>
        </is>
      </c>
      <c r="F166" s="47" t="n"/>
      <c r="G166" s="41" t="n"/>
      <c r="H166" s="40" t="inlineStr">
        <is>
          <t>CDMO</t>
        </is>
      </c>
      <c r="I166" s="40" t="inlineStr">
        <is>
          <t>CITIC</t>
        </is>
      </c>
      <c r="J166" s="42" t="n">
        <v>442.226</v>
      </c>
      <c r="K166" s="42" t="n">
        <v>59.173</v>
      </c>
      <c r="L166" s="42" t="n">
        <v>387.183</v>
      </c>
      <c r="M166" s="40" t="inlineStr">
        <is>
          <t>Peptide CRDMO services</t>
        </is>
      </c>
    </row>
    <row r="167" hidden="1" outlineLevel="2" ht="12" customHeight="1"/>
    <row r="168" hidden="1" outlineLevel="2" ht="12" customHeight="1"/>
    <row r="169" hidden="1" outlineLevel="2" ht="12" customHeight="1"/>
    <row r="170" hidden="1" outlineLevel="2" ht="12" customHeight="1">
      <c r="B170" s="29" t="n"/>
    </row>
    <row r="171" hidden="1" outlineLevel="2" ht="12" customHeight="1">
      <c r="B171" s="29" t="n"/>
      <c r="K171" s="30" t="n"/>
      <c r="M171" s="23" t="n"/>
    </row>
    <row r="172" hidden="1" outlineLevel="2" ht="12" customHeight="1">
      <c r="B172" s="29" t="n"/>
    </row>
    <row r="173" hidden="1" outlineLevel="2" ht="12" customHeight="1">
      <c r="B173" s="29" t="n"/>
    </row>
    <row r="174" hidden="1" outlineLevel="2" ht="12" customHeight="1">
      <c r="B174" s="29" t="n"/>
    </row>
    <row r="175" hidden="1" outlineLevel="2" ht="12" customHeight="1">
      <c r="B175" s="29" t="n"/>
    </row>
    <row r="176" hidden="1" outlineLevel="2" ht="12" customHeight="1">
      <c r="B176" s="29" t="n"/>
    </row>
    <row r="177" outlineLevel="1" collapsed="1" ht="12" customHeight="1">
      <c r="B177" s="29" t="n"/>
      <c r="D177" s="52" t="n"/>
      <c r="E177" s="52" t="n"/>
      <c r="F177" s="52" t="n"/>
      <c r="G177" s="52" t="n"/>
    </row>
    <row r="178">
      <c r="B178" s="29" t="n"/>
      <c r="D178" s="52" t="n"/>
      <c r="E178" s="52" t="n"/>
      <c r="F178" s="52" t="n"/>
      <c r="G178" s="52" t="n"/>
    </row>
    <row r="179">
      <c r="B179" s="29" t="n"/>
      <c r="D179" s="52" t="n"/>
      <c r="E179" s="52" t="n"/>
      <c r="F179" s="52" t="n"/>
      <c r="G179" s="52" t="n"/>
      <c r="K179" s="30" t="n"/>
    </row>
    <row r="180" ht="12" customHeight="1">
      <c r="B180" s="29" t="n"/>
      <c r="D180" s="52" t="n"/>
      <c r="E180" s="52" t="n"/>
      <c r="F180" s="52" t="n"/>
      <c r="G180" s="52" t="n"/>
    </row>
    <row r="181" ht="12" customHeight="1">
      <c r="B181" s="29" t="n"/>
      <c r="D181" s="52" t="n"/>
      <c r="E181" s="52" t="n"/>
      <c r="F181" s="52" t="n"/>
      <c r="G181" s="52" t="n"/>
    </row>
    <row r="182" ht="12" customHeight="1">
      <c r="B182" s="29" t="n"/>
      <c r="D182" s="52" t="n"/>
      <c r="E182" s="52" t="n"/>
      <c r="F182" s="52" t="n"/>
      <c r="G182" s="52" t="n"/>
    </row>
    <row r="183" ht="12" customHeight="1">
      <c r="B183" s="29" t="n"/>
      <c r="D183" s="52" t="n"/>
      <c r="E183" s="52" t="n"/>
      <c r="F183" s="52" t="n"/>
      <c r="G183" s="52" t="n"/>
    </row>
    <row r="184" ht="12" customHeight="1">
      <c r="B184" s="29" t="n"/>
      <c r="D184" s="52" t="n"/>
      <c r="E184" s="52" t="n"/>
      <c r="F184" s="52" t="n"/>
      <c r="G184" s="52" t="n"/>
    </row>
    <row r="185" ht="12" customHeight="1">
      <c r="B185" s="29" t="n"/>
      <c r="D185" s="52" t="n"/>
      <c r="E185" s="52" t="n"/>
      <c r="F185" s="52" t="n"/>
      <c r="G185" s="52" t="n"/>
    </row>
    <row r="186" ht="12" customHeight="1">
      <c r="B186" s="29" t="n"/>
      <c r="D186" s="52" t="n"/>
      <c r="E186" s="52" t="n"/>
      <c r="F186" s="52" t="n"/>
      <c r="G186" s="52" t="n"/>
    </row>
    <row r="187" ht="12" customHeight="1">
      <c r="B187" s="29" t="n"/>
      <c r="D187" s="52" t="n"/>
      <c r="E187" s="52" t="n"/>
      <c r="F187" s="52" t="n"/>
      <c r="G187" s="52" t="n"/>
    </row>
    <row r="188" ht="12" customHeight="1">
      <c r="B188" s="29" t="n"/>
      <c r="D188" s="52" t="n"/>
      <c r="E188" s="52" t="n"/>
      <c r="F188" s="52" t="n"/>
      <c r="G188" s="52" t="n"/>
    </row>
    <row r="189" ht="12" customHeight="1">
      <c r="B189" s="29" t="n"/>
      <c r="D189" s="52" t="n"/>
      <c r="E189" s="52" t="n"/>
      <c r="F189" s="52" t="n"/>
      <c r="G189" s="52" t="n"/>
    </row>
    <row r="190" ht="12" customHeight="1">
      <c r="B190" s="29" t="n"/>
      <c r="D190" s="52" t="n"/>
      <c r="E190" s="52" t="n"/>
      <c r="F190" s="52" t="n"/>
      <c r="G190" s="52" t="n"/>
    </row>
    <row r="191" ht="12" customHeight="1">
      <c r="B191" s="29" t="n"/>
      <c r="D191" s="52" t="n"/>
      <c r="E191" s="52" t="n"/>
      <c r="F191" s="52" t="n"/>
      <c r="G191" s="52" t="n"/>
    </row>
    <row r="192" ht="12" customHeight="1">
      <c r="B192" s="29" t="n"/>
      <c r="D192" s="52" t="n"/>
      <c r="E192" s="52" t="n"/>
      <c r="F192" s="52" t="n"/>
      <c r="G192" s="52" t="n"/>
    </row>
    <row r="193" ht="12" customHeight="1">
      <c r="B193" s="29" t="n"/>
      <c r="D193" s="52" t="n"/>
      <c r="E193" s="52" t="n"/>
      <c r="F193" s="52" t="n"/>
      <c r="G193" s="52" t="n"/>
    </row>
    <row r="194" ht="12" customHeight="1">
      <c r="B194" s="29" t="n"/>
      <c r="D194" s="52" t="n"/>
      <c r="E194" s="52" t="n"/>
      <c r="F194" s="52" t="n"/>
      <c r="G194" s="52" t="n"/>
    </row>
    <row r="195" ht="12" customHeight="1">
      <c r="B195" s="29" t="n"/>
      <c r="D195" s="52" t="n"/>
      <c r="E195" s="52" t="n"/>
      <c r="F195" s="52" t="n"/>
      <c r="G195" s="52" t="n"/>
    </row>
    <row r="196" ht="12" customHeight="1">
      <c r="B196" s="29" t="n"/>
    </row>
    <row r="197" ht="12" customHeight="1">
      <c r="B197" s="29" t="n"/>
    </row>
    <row r="198" ht="12" customHeight="1">
      <c r="B198" s="29" t="n"/>
    </row>
    <row r="199" ht="12" customHeight="1">
      <c r="B199" s="29" t="n"/>
    </row>
    <row r="200" ht="12" customHeight="1">
      <c r="B200" s="29" t="n"/>
    </row>
    <row r="201" ht="12" customHeight="1">
      <c r="B201" s="29" t="n"/>
    </row>
    <row r="202" ht="12" customHeight="1">
      <c r="B202" s="29" t="n"/>
    </row>
    <row r="203" ht="12" customHeight="1">
      <c r="B203" s="29" t="n"/>
    </row>
    <row r="204" ht="12" customHeight="1">
      <c r="B204" s="29" t="n"/>
    </row>
    <row r="205" ht="12" customHeight="1">
      <c r="B205" s="29" t="n"/>
    </row>
    <row r="206" ht="12" customHeight="1">
      <c r="B206" s="29" t="n"/>
    </row>
    <row r="207" ht="12" customHeight="1">
      <c r="B207" s="29" t="n"/>
    </row>
    <row r="208" ht="12" customHeight="1">
      <c r="B208" s="29" t="n"/>
    </row>
    <row r="209" ht="12" customHeight="1">
      <c r="B209" s="29" t="n"/>
    </row>
    <row r="210" ht="12" customHeight="1">
      <c r="B210" s="29" t="n"/>
    </row>
    <row r="211" ht="12" customHeight="1">
      <c r="B211" s="29" t="n"/>
    </row>
    <row r="212" ht="12" customHeight="1">
      <c r="B212" s="29" t="n"/>
    </row>
    <row r="213" ht="12" customHeight="1">
      <c r="B213" s="29" t="n"/>
    </row>
    <row r="214" ht="12" customHeight="1">
      <c r="B214" s="29" t="n"/>
    </row>
    <row r="215" ht="12" customHeight="1">
      <c r="B215" s="29" t="n"/>
    </row>
    <row r="216" ht="12" customHeight="1">
      <c r="B216" s="29" t="n"/>
    </row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</sheetData>
  <autoFilter ref="B2:N176"/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Diwen Tang</dc:creator>
  <dcterms:created xmlns:dcterms="http://purl.org/dc/terms/" xmlns:xsi="http://www.w3.org/2001/XMLSchema-instance" xsi:type="dcterms:W3CDTF">2026-03-02T07:03:46Z</dcterms:created>
  <dcterms:modified xmlns:dcterms="http://purl.org/dc/terms/" xmlns:xsi="http://www.w3.org/2001/XMLSchema-instance" xsi:type="dcterms:W3CDTF">2026-04-07T06:33:07Z</dcterms:modified>
  <cp:lastModifiedBy>Diwen Tang</cp:lastModifiedBy>
</cp: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{CF811D41-FB98-459D-A28D-6B63A5D1A826}</vt:lpwstr>
  </property>
  <property name="DLPManualFileClassificationLastModifiedBy" fmtid="{D5CDD505-2E9C-101B-9397-08002B2CF9AE}" pid="3">
    <vt:lpwstr xmlns:vt="http://schemas.openxmlformats.org/officeDocument/2006/docPropsVTypes">CBRIDGECAP\I0333</vt:lpwstr>
  </property>
  <property name="DLPManualFileClassificationLastModificationDate" fmtid="{D5CDD505-2E9C-101B-9397-08002B2CF9AE}" pid="4">
    <vt:lpwstr xmlns:vt="http://schemas.openxmlformats.org/officeDocument/2006/docPropsVTypes">1775530447</vt:lpwstr>
  </property>
  <property name="DLPManualFileClassificationVersion" fmtid="{D5CDD505-2E9C-101B-9397-08002B2CF9AE}" pid="5">
    <vt:lpwstr xmlns:vt="http://schemas.openxmlformats.org/officeDocument/2006/docPropsVTypes">11.13.0.58</vt:lpwstr>
  </property>
</Properties>
</file>